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gtj\Documents\15 TEMPLATES\"/>
    </mc:Choice>
  </mc:AlternateContent>
  <xr:revisionPtr revIDLastSave="0" documentId="8_{9481FA3F-A8A9-4725-B047-6BD74FCF444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ashboard" sheetId="1" r:id="rId1"/>
    <sheet name="Workstreams" sheetId="2" r:id="rId2"/>
    <sheet name="Actions" sheetId="3" r:id="rId3"/>
    <sheet name="Risks &amp; Issues" sheetId="4" r:id="rId4"/>
    <sheet name="Milestones" sheetId="5" r:id="rId5"/>
    <sheet name="RACI" sheetId="6" r:id="rId6"/>
    <sheet name="Change Log" sheetId="7" r:id="rId7"/>
  </sheets>
  <definedNames>
    <definedName name="_xlnm._FilterDatabase" localSheetId="2" hidden="1">Actions!$B$2:$L$12</definedName>
    <definedName name="_xlnm._FilterDatabase" localSheetId="4" hidden="1">Milestones!$B$2:$L$10</definedName>
    <definedName name="_xlnm._FilterDatabase" localSheetId="3" hidden="1">'Risks &amp; Issues'!$B$2:$M$8</definedName>
    <definedName name="_xlnm._FilterDatabase" localSheetId="1" hidden="1">Workstreams!$B$2:$L$10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" i="4" l="1"/>
  <c r="H7" i="4"/>
  <c r="H6" i="4"/>
  <c r="H5" i="4"/>
  <c r="H4" i="4"/>
  <c r="H3" i="4"/>
  <c r="J4" i="1"/>
  <c r="H4" i="1"/>
  <c r="F4" i="1"/>
  <c r="D4" i="1"/>
  <c r="B4" i="1"/>
</calcChain>
</file>

<file path=xl/sharedStrings.xml><?xml version="1.0" encoding="utf-8"?>
<sst xmlns="http://schemas.openxmlformats.org/spreadsheetml/2006/main" count="454" uniqueCount="234">
  <si>
    <t>GBS TRANSFORMATION PROGRAMME TRACKER</t>
  </si>
  <si>
    <t>Process Harmonisation &amp; AI-First Transformation</t>
  </si>
  <si>
    <t>TOTAL WORKSTREAMS</t>
  </si>
  <si>
    <t>ON TRACK</t>
  </si>
  <si>
    <t>AT RISK</t>
  </si>
  <si>
    <t>BLOCKED / OFF TRACK</t>
  </si>
  <si>
    <t>OPEN ACTIONS</t>
  </si>
  <si>
    <t>PROGRAMME DETAILS</t>
  </si>
  <si>
    <t>KEY DECISIONS &amp; ESCALATIONS</t>
  </si>
  <si>
    <t>Programme Lead</t>
  </si>
  <si>
    <t>[Name]</t>
  </si>
  <si>
    <t>#</t>
  </si>
  <si>
    <t>Decision / Escalation</t>
  </si>
  <si>
    <t>Owner</t>
  </si>
  <si>
    <t>Due</t>
  </si>
  <si>
    <t>Status</t>
  </si>
  <si>
    <t>Start Date</t>
  </si>
  <si>
    <t>01-Jun-2026</t>
  </si>
  <si>
    <t>Target Go-Live</t>
  </si>
  <si>
    <t>[TBD]</t>
  </si>
  <si>
    <t>Location</t>
  </si>
  <si>
    <t>Last Updated</t>
  </si>
  <si>
    <t>08-Jun-2026</t>
  </si>
  <si>
    <t>TRANSFORMATION WORKSTREAMS</t>
  </si>
  <si>
    <t>Workstream</t>
  </si>
  <si>
    <t>Tower / Function</t>
  </si>
  <si>
    <t>Stream Lead</t>
  </si>
  <si>
    <t>Target End</t>
  </si>
  <si>
    <t>% Complete</t>
  </si>
  <si>
    <t>Phase</t>
  </si>
  <si>
    <t>Key Dependency</t>
  </si>
  <si>
    <t>Next Milestone</t>
  </si>
  <si>
    <t>Comments</t>
  </si>
  <si>
    <t>P2P Process Harmonisation</t>
  </si>
  <si>
    <t>Accounts Payable</t>
  </si>
  <si>
    <t>[Lead]</t>
  </si>
  <si>
    <t>01-Jul-2026</t>
  </si>
  <si>
    <t>31-Dec-2026</t>
  </si>
  <si>
    <t>On Track</t>
  </si>
  <si>
    <t>Discovery</t>
  </si>
  <si>
    <t>ERP landscape mapping</t>
  </si>
  <si>
    <t>AS-IS documentation complete</t>
  </si>
  <si>
    <t>O2C Standardisation</t>
  </si>
  <si>
    <t>Accounts Receivable</t>
  </si>
  <si>
    <t>28-Feb-2027</t>
  </si>
  <si>
    <t>Planning</t>
  </si>
  <si>
    <t>Credit policy alignment</t>
  </si>
  <si>
    <t>Scope sign-off</t>
  </si>
  <si>
    <t>R2R Process Redesign</t>
  </si>
  <si>
    <t>General Ledger</t>
  </si>
  <si>
    <t>01-Aug-2026</t>
  </si>
  <si>
    <t>31-Mar-2027</t>
  </si>
  <si>
    <t>Not Started</t>
  </si>
  <si>
    <t>Pre-Discovery</t>
  </si>
  <si>
    <t>Chart of accounts review</t>
  </si>
  <si>
    <t>Kick-off meeting</t>
  </si>
  <si>
    <t>Master Data Governance</t>
  </si>
  <si>
    <t>Cross-Functional</t>
  </si>
  <si>
    <t>15-Jul-2026</t>
  </si>
  <si>
    <t>30-Jun-2027</t>
  </si>
  <si>
    <t>At Risk</t>
  </si>
  <si>
    <t>MDM tool selection</t>
  </si>
  <si>
    <t>Data quality baseline</t>
  </si>
  <si>
    <t>Multiple legacy systems</t>
  </si>
  <si>
    <t>AI-First Automation Pilot</t>
  </si>
  <si>
    <t>Innovation</t>
  </si>
  <si>
    <t>01-Sep-2026</t>
  </si>
  <si>
    <t>Use case prioritisation</t>
  </si>
  <si>
    <t>Pilot scope approved</t>
  </si>
  <si>
    <t>GBS Operating Model</t>
  </si>
  <si>
    <t>Programme Office</t>
  </si>
  <si>
    <t>30-Sep-2026</t>
  </si>
  <si>
    <t>Stakeholder alignment</t>
  </si>
  <si>
    <t>Target operating model v1</t>
  </si>
  <si>
    <t>Shared Services Migration Wave 1</t>
  </si>
  <si>
    <t>HR / Finance</t>
  </si>
  <si>
    <t>01-Oct-2026</t>
  </si>
  <si>
    <t>Service catalogue</t>
  </si>
  <si>
    <t>Migration readiness assessment</t>
  </si>
  <si>
    <t>Continuous Improvement Framework</t>
  </si>
  <si>
    <t>Operational Excellence</t>
  </si>
  <si>
    <t>Ongoing</t>
  </si>
  <si>
    <t>KPI framework</t>
  </si>
  <si>
    <t>Lean baseline assessment</t>
  </si>
  <si>
    <t>ACTION TRACKER</t>
  </si>
  <si>
    <t>ID</t>
  </si>
  <si>
    <t>Action Item</t>
  </si>
  <si>
    <t>Priority</t>
  </si>
  <si>
    <t>Due Date</t>
  </si>
  <si>
    <t>% Done</t>
  </si>
  <si>
    <t>Blocker / Dependency</t>
  </si>
  <si>
    <t>Last Update</t>
  </si>
  <si>
    <t>ACT-001</t>
  </si>
  <si>
    <t>Map current P2P process variants across entities</t>
  </si>
  <si>
    <t>[Owner]</t>
  </si>
  <si>
    <t>High</t>
  </si>
  <si>
    <t>Open</t>
  </si>
  <si>
    <t>ACT-002</t>
  </si>
  <si>
    <t>Conduct stakeholder interviews — AP tower leads</t>
  </si>
  <si>
    <t>20-Jul-2026</t>
  </si>
  <si>
    <t>ACT-003</t>
  </si>
  <si>
    <t>Define target operating model principles</t>
  </si>
  <si>
    <t>Critical</t>
  </si>
  <si>
    <t>30-Jun-2026</t>
  </si>
  <si>
    <t>In Progress</t>
  </si>
  <si>
    <t>ACT-004</t>
  </si>
  <si>
    <t>Inventory all ERP systems and versions</t>
  </si>
  <si>
    <t>31-Jul-2026</t>
  </si>
  <si>
    <t>IT landscape team availability</t>
  </si>
  <si>
    <t>ACT-005</t>
  </si>
  <si>
    <t>Draft data quality assessment framework</t>
  </si>
  <si>
    <t>Medium</t>
  </si>
  <si>
    <t>15-Aug-2026</t>
  </si>
  <si>
    <t>ACT-004 completion</t>
  </si>
  <si>
    <t>ACT-006</t>
  </si>
  <si>
    <t>Identify AI automation use cases — top 10</t>
  </si>
  <si>
    <t>15-Sep-2026</t>
  </si>
  <si>
    <t>ACT-007</t>
  </si>
  <si>
    <t>Benchmark GBS KPIs against SSON/Hackett data</t>
  </si>
  <si>
    <t>31-Aug-2026</t>
  </si>
  <si>
    <t>ACT-008</t>
  </si>
  <si>
    <t>Define service catalogue for Wave 1 scope</t>
  </si>
  <si>
    <t>GBS Operating Model sign-off</t>
  </si>
  <si>
    <t>ACT-009</t>
  </si>
  <si>
    <t>Align credit policy across O2C entities</t>
  </si>
  <si>
    <t>ACT-010</t>
  </si>
  <si>
    <t>Set up programme governance cadence</t>
  </si>
  <si>
    <t>15-Jun-2026</t>
  </si>
  <si>
    <t>Weekly SteerCo + bi-weekly ops review</t>
  </si>
  <si>
    <t>RISK &amp; ISSUE REGISTER</t>
  </si>
  <si>
    <t>Type</t>
  </si>
  <si>
    <t>Description</t>
  </si>
  <si>
    <t>Impact (1-5)</t>
  </si>
  <si>
    <t>Probability (1-5)</t>
  </si>
  <si>
    <t>Risk Score</t>
  </si>
  <si>
    <t>Mitigation / Response</t>
  </si>
  <si>
    <t>Date Raised</t>
  </si>
  <si>
    <t>Target Close</t>
  </si>
  <si>
    <t>RSK-001</t>
  </si>
  <si>
    <t>Risk</t>
  </si>
  <si>
    <t>Resistance to process standardisation from local entities</t>
  </si>
  <si>
    <t>Change management programme; early stakeholder engagement</t>
  </si>
  <si>
    <t>RSK-002</t>
  </si>
  <si>
    <t>ERP landscape fragmentation delays harmonisation</t>
  </si>
  <si>
    <t>Phased approach; middleware integration layer</t>
  </si>
  <si>
    <t>RSK-003</t>
  </si>
  <si>
    <t>Key resource attrition during transition</t>
  </si>
  <si>
    <t>Retention packages; knowledge transfer protocol</t>
  </si>
  <si>
    <t>ISS-001</t>
  </si>
  <si>
    <t>Issue</t>
  </si>
  <si>
    <t>No single source of truth for master data</t>
  </si>
  <si>
    <t>Priority data cleansing sprint; interim golden record process</t>
  </si>
  <si>
    <t>RSK-004</t>
  </si>
  <si>
    <t>AI pilot scope creep or unrealistic expectations</t>
  </si>
  <si>
    <t>Strict MVP scope; executive sponsor alignment on success criteria</t>
  </si>
  <si>
    <t>RSK-005</t>
  </si>
  <si>
    <t>Regulatory / compliance gaps in cross-border process changes</t>
  </si>
  <si>
    <t>Legal review gate in design phase; compliance checklist per entity</t>
  </si>
  <si>
    <t>KEY MILESTONES</t>
  </si>
  <si>
    <t>Milestone</t>
  </si>
  <si>
    <t>Planned Date</t>
  </si>
  <si>
    <t>Revised Date</t>
  </si>
  <si>
    <t>Actual Date</t>
  </si>
  <si>
    <t>Gate / Approval</t>
  </si>
  <si>
    <t>Dependencies</t>
  </si>
  <si>
    <t>Notes</t>
  </si>
  <si>
    <t>MS-001</t>
  </si>
  <si>
    <t>Programme kick-off &amp; governance established</t>
  </si>
  <si>
    <t>SteerCo approval</t>
  </si>
  <si>
    <t>MS-002</t>
  </si>
  <si>
    <t>Target Operating Model v1 signed off</t>
  </si>
  <si>
    <t>Planned</t>
  </si>
  <si>
    <t>Executive Board</t>
  </si>
  <si>
    <t>Stakeholder interviews complete</t>
  </si>
  <si>
    <t>MS-003</t>
  </si>
  <si>
    <t>P2P AS-IS process maps complete (all entities)</t>
  </si>
  <si>
    <t>Workstream lead sign-off</t>
  </si>
  <si>
    <t>Entity access confirmed</t>
  </si>
  <si>
    <t>MS-004</t>
  </si>
  <si>
    <t>P2P TO-BE harmonised design approved</t>
  </si>
  <si>
    <t>30-Nov-2026</t>
  </si>
  <si>
    <t>Process Council</t>
  </si>
  <si>
    <t>MS-005</t>
  </si>
  <si>
    <t>Master data quality baseline established</t>
  </si>
  <si>
    <t>Data Governance Board</t>
  </si>
  <si>
    <t>ERP inventory complete</t>
  </si>
  <si>
    <t>MS-006</t>
  </si>
  <si>
    <t>AI pilot — 3 use cases live in production</t>
  </si>
  <si>
    <t>Innovation Board</t>
  </si>
  <si>
    <t>Use case selection approved</t>
  </si>
  <si>
    <t>MS-007</t>
  </si>
  <si>
    <t>Wave 1 services migrated to GBS</t>
  </si>
  <si>
    <t>Transition Board</t>
  </si>
  <si>
    <t>Service catalogue approved</t>
  </si>
  <si>
    <t>MS-008</t>
  </si>
  <si>
    <t>Year 1 benefits realisation report</t>
  </si>
  <si>
    <t>CFO review</t>
  </si>
  <si>
    <t>All workstreams reporting</t>
  </si>
  <si>
    <t>RACI MATRIX</t>
  </si>
  <si>
    <t>R = Responsible | A = Accountable | C = Consulted | I = Informed</t>
  </si>
  <si>
    <t>Activity / Deliverable</t>
  </si>
  <si>
    <t>Programme Director</t>
  </si>
  <si>
    <t>Workstream Lead</t>
  </si>
  <si>
    <t>Process SME</t>
  </si>
  <si>
    <t>IT / SAP Team</t>
  </si>
  <si>
    <t>Change Management</t>
  </si>
  <si>
    <t>Finance Controller</t>
  </si>
  <si>
    <t>Legal / Compliance</t>
  </si>
  <si>
    <t>SteerCo</t>
  </si>
  <si>
    <t>External Consultant</t>
  </si>
  <si>
    <t>Programme governance &amp; reporting</t>
  </si>
  <si>
    <t>A</t>
  </si>
  <si>
    <t>C</t>
  </si>
  <si>
    <t>I</t>
  </si>
  <si>
    <t>Target operating model design</t>
  </si>
  <si>
    <t>R</t>
  </si>
  <si>
    <t>AS-IS process documentation</t>
  </si>
  <si>
    <t>TO-BE process design</t>
  </si>
  <si>
    <t>ERP configuration / build</t>
  </si>
  <si>
    <t>Change impact assessment</t>
  </si>
  <si>
    <t>Data migration &amp; cleansing</t>
  </si>
  <si>
    <t>UAT sign-off</t>
  </si>
  <si>
    <t>Go-live readiness assessment</t>
  </si>
  <si>
    <t>Benefits tracking &amp; reporting</t>
  </si>
  <si>
    <t>CHANGE LOG</t>
  </si>
  <si>
    <t>Date</t>
  </si>
  <si>
    <t>Changed By</t>
  </si>
  <si>
    <t>Sheet</t>
  </si>
  <si>
    <t>Change Description</t>
  </si>
  <si>
    <t>Reason</t>
  </si>
  <si>
    <t>Julian</t>
  </si>
  <si>
    <t>All</t>
  </si>
  <si>
    <t>Initial tracker creation</t>
  </si>
  <si>
    <t>Programme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</si>
</sst>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1"/>
      <color rgb="FFC8D0DE"/>
      <name val="Arial"/>
      <charset val="1"/>
    </font>
    <font>
      <b/>
      <sz val="28"/>
      <color rgb="FF1D6AFF"/>
      <name val="Arial"/>
      <charset val="1"/>
    </font>
    <font>
      <b/>
      <sz val="28"/>
      <color rgb="FF34D399"/>
      <name val="Arial"/>
      <charset val="1"/>
    </font>
    <font>
      <b/>
      <sz val="28"/>
      <color rgb="FFE8B800"/>
      <name val="Arial"/>
      <charset val="1"/>
    </font>
    <font>
      <b/>
      <sz val="28"/>
      <color rgb="FFEF4444"/>
      <name val="Arial"/>
      <charset val="1"/>
    </font>
    <font>
      <sz val="9"/>
      <color rgb="FF7A8799"/>
      <name val="Arial"/>
      <charset val="1"/>
    </font>
    <font>
      <b/>
      <sz val="10"/>
      <color rgb="FFFFFFFF"/>
      <name val="Arial"/>
      <charset val="1"/>
    </font>
    <font>
      <b/>
      <sz val="10"/>
      <color rgb="FF333333"/>
      <name val="Arial"/>
      <charset val="1"/>
    </font>
    <font>
      <sz val="10"/>
      <color rgb="FF333333"/>
      <name val="Arial"/>
      <charset val="1"/>
    </font>
    <font>
      <b/>
      <sz val="9"/>
      <color rgb="FF7A8799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i/>
      <sz val="9"/>
      <color rgb="FF7A8799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080B10"/>
        <bgColor rgb="FF0E1219"/>
      </patternFill>
    </fill>
    <fill>
      <patternFill patternType="solid">
        <fgColor rgb="FF0E1219"/>
        <bgColor rgb="FF080B10"/>
      </patternFill>
    </fill>
    <fill>
      <patternFill patternType="solid">
        <fgColor rgb="FFE8F0FE"/>
        <bgColor rgb="FFF0ECFE"/>
      </patternFill>
    </fill>
    <fill>
      <patternFill patternType="solid">
        <fgColor rgb="FFE8FAF0"/>
        <bgColor rgb="FFF0F4F8"/>
      </patternFill>
    </fill>
    <fill>
      <patternFill patternType="solid">
        <fgColor rgb="FFFEF9E7"/>
        <bgColor rgb="FFFFFFFF"/>
      </patternFill>
    </fill>
    <fill>
      <patternFill patternType="solid">
        <fgColor rgb="FFFDE8E8"/>
        <bgColor rgb="FFF0ECFE"/>
      </patternFill>
    </fill>
    <fill>
      <patternFill patternType="solid">
        <fgColor rgb="FFF0ECFE"/>
        <bgColor rgb="FFE8F0FE"/>
      </patternFill>
    </fill>
    <fill>
      <patternFill patternType="solid">
        <fgColor rgb="FF141922"/>
        <bgColor rgb="FF0E1219"/>
      </patternFill>
    </fill>
    <fill>
      <patternFill patternType="solid">
        <fgColor rgb="FFF0F4F8"/>
        <bgColor rgb="FFE8F0FE"/>
      </patternFill>
    </fill>
    <fill>
      <patternFill patternType="solid">
        <fgColor rgb="FFFFFFFF"/>
        <bgColor rgb="FFFEF9E7"/>
      </patternFill>
    </fill>
  </fills>
  <borders count="1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9" fillId="10" borderId="1" xfId="0" applyFont="1" applyFill="1" applyBorder="1"/>
    <xf numFmtId="0" fontId="11" fillId="1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0" fontId="12" fillId="2" borderId="0" xfId="0" applyFont="1" applyFill="1" applyAlignment="1">
      <alignment horizontal="left" vertical="center" indent="1"/>
    </xf>
    <xf numFmtId="0" fontId="10" fillId="0" borderId="2" xfId="0" applyFont="1" applyBorder="1"/>
    <xf numFmtId="0" fontId="10" fillId="11" borderId="2" xfId="0" applyFont="1" applyFill="1" applyBorder="1"/>
    <xf numFmtId="0" fontId="8" fillId="9" borderId="0" xfId="0" applyFont="1" applyFill="1"/>
    <xf numFmtId="0" fontId="11" fillId="10" borderId="1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14" fillId="0" borderId="0" xfId="0" applyFont="1"/>
    <xf numFmtId="0" fontId="10" fillId="10" borderId="3" xfId="0" applyFont="1" applyFill="1" applyBorder="1" applyAlignment="1">
      <alignment horizontal="left" vertical="center" wrapText="1"/>
    </xf>
    <xf numFmtId="9" fontId="10" fillId="10" borderId="3" xfId="0" applyNumberFormat="1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left" vertical="center" wrapText="1"/>
    </xf>
    <xf numFmtId="9" fontId="10" fillId="11" borderId="3" xfId="0" applyNumberFormat="1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10" fillId="10" borderId="5" xfId="0" applyFont="1" applyFill="1" applyBorder="1" applyAlignment="1">
      <alignment horizontal="left" vertical="center" wrapText="1"/>
    </xf>
    <xf numFmtId="0" fontId="10" fillId="11" borderId="5" xfId="0" applyFont="1" applyFill="1" applyBorder="1" applyAlignment="1">
      <alignment horizontal="left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0" fillId="11" borderId="9" xfId="0" applyFont="1" applyFill="1" applyBorder="1" applyAlignment="1">
      <alignment horizontal="left" vertical="center" wrapText="1"/>
    </xf>
    <xf numFmtId="0" fontId="10" fillId="11" borderId="10" xfId="0" applyFont="1" applyFill="1" applyBorder="1" applyAlignment="1">
      <alignment horizontal="left" vertical="center" wrapText="1"/>
    </xf>
    <xf numFmtId="9" fontId="10" fillId="11" borderId="10" xfId="0" applyNumberFormat="1" applyFont="1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9" xfId="0" applyBorder="1"/>
    <xf numFmtId="0" fontId="10" fillId="10" borderId="4" xfId="0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0" fontId="10" fillId="11" borderId="9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0" xfId="0" applyBorder="1"/>
  </cellXfs>
  <cellStyles count="1">
    <cellStyle name="Normal" xfId="0" builtinId="0"/>
  </cellStyles>
  <dxfs count="9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E1219"/>
          <bgColor rgb="FF080B1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B8860B"/>
      </font>
      <fill>
        <patternFill>
          <bgColor rgb="FFFEF9E7"/>
        </patternFill>
      </fill>
    </dxf>
    <dxf>
      <font>
        <color rgb="FFEF4444"/>
      </font>
      <fill>
        <patternFill>
          <bgColor rgb="FFFDE8E8"/>
        </patternFill>
      </fill>
    </dxf>
    <dxf>
      <font>
        <color rgb="FF34D399"/>
      </font>
      <fill>
        <patternFill>
          <bgColor rgb="FFE8FAF0"/>
        </patternFill>
      </fill>
    </dxf>
    <dxf>
      <font>
        <color rgb="FF34D399"/>
      </font>
      <fill>
        <patternFill>
          <bgColor rgb="FFE8FAF0"/>
        </patternFill>
      </fill>
    </dxf>
    <dxf>
      <font>
        <b/>
        <color rgb="FFB8860B"/>
      </font>
      <fill>
        <patternFill>
          <bgColor rgb="FFFEF9E7"/>
        </patternFill>
      </fill>
    </dxf>
    <dxf>
      <font>
        <b/>
        <color rgb="FFEF4444"/>
      </font>
      <fill>
        <patternFill>
          <bgColor rgb="FFFDE8E8"/>
        </patternFill>
      </fill>
    </dxf>
    <dxf>
      <font>
        <color rgb="FFEF4444"/>
      </font>
      <fill>
        <patternFill>
          <bgColor rgb="FFFDE8E8"/>
        </patternFill>
      </fill>
    </dxf>
    <dxf>
      <font>
        <color rgb="FF34D399"/>
      </font>
      <fill>
        <patternFill>
          <bgColor rgb="FFE8FAF0"/>
        </patternFill>
      </fill>
    </dxf>
    <dxf>
      <font>
        <color rgb="FFB8860B"/>
      </font>
      <fill>
        <patternFill>
          <bgColor rgb="FFFEF9E7"/>
        </patternFill>
      </fill>
    </dxf>
    <dxf>
      <font>
        <b/>
        <color rgb="FFEF4444"/>
      </font>
      <fill>
        <patternFill>
          <bgColor rgb="FFFDE8E8"/>
        </patternFill>
      </fill>
    </dxf>
    <dxf>
      <font>
        <color rgb="FFEF4444"/>
      </font>
      <fill>
        <patternFill>
          <bgColor rgb="FFFDE8E8"/>
        </patternFill>
      </fill>
    </dxf>
    <dxf>
      <font>
        <color rgb="FFEF4444"/>
      </font>
      <fill>
        <patternFill>
          <bgColor rgb="FFFDE8E8"/>
        </patternFill>
      </fill>
    </dxf>
    <dxf>
      <font>
        <color rgb="FFB8860B"/>
      </font>
      <fill>
        <patternFill>
          <bgColor rgb="FFFEF9E7"/>
        </patternFill>
      </fill>
    </dxf>
    <dxf>
      <font>
        <color rgb="FF34D399"/>
      </font>
      <fill>
        <patternFill>
          <bgColor rgb="FFE8FAF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0F4F8"/>
          <bgColor rgb="FFE8FA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E8F0FE"/>
          <bgColor rgb="FFF0F4F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E8F0FE"/>
          <bgColor rgb="FFF0F4F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E8F0FE"/>
          <bgColor rgb="FFF0F4F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0F4F8"/>
          <bgColor rgb="FFE8FA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0ECFE"/>
          <bgColor rgb="FFE8F0F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FFFFF"/>
          <bgColor rgb="FFFEF9E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E1219"/>
          <bgColor rgb="FF080B1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E8F0FE"/>
          <bgColor rgb="FFF0F4F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E1219"/>
          <bgColor rgb="FF080B1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E1219"/>
          <bgColor rgb="FF080B1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E1219"/>
          <bgColor rgb="FF080B1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numFmt numFmtId="13" formatCode="0%"/>
      <fill>
        <patternFill patternType="solid">
          <fgColor rgb="FFFEF9E7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E1219"/>
          <bgColor rgb="FF080B1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numFmt numFmtId="13" formatCode="0%"/>
      <fill>
        <patternFill patternType="solid">
          <fgColor rgb="FFFEF9E7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charset val="1"/>
        <scheme val="none"/>
      </font>
      <fill>
        <patternFill patternType="solid">
          <fgColor rgb="FFFEF9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80B10"/>
      <rgbColor rgb="FFB8860B"/>
      <rgbColor rgb="FF800080"/>
      <rgbColor rgb="FF008080"/>
      <rgbColor rgb="FFD0D5DD"/>
      <rgbColor rgb="FF7A8799"/>
      <rgbColor rgb="FFA78BFA"/>
      <rgbColor rgb="FF993366"/>
      <rgbColor rgb="FFFEF9E7"/>
      <rgbColor rgb="FFE8FAF0"/>
      <rgbColor rgb="FF660066"/>
      <rgbColor rgb="FFFF8080"/>
      <rgbColor rgb="FF0066CC"/>
      <rgbColor rgb="FFC8D0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38BDF8"/>
      <rgbColor rgb="FFE8F0FE"/>
      <rgbColor rgb="FFF0F4F8"/>
      <rgbColor rgb="FFFDE8E8"/>
      <rgbColor rgb="FF99CCFF"/>
      <rgbColor rgb="FFFF99CC"/>
      <rgbColor rgb="FFCC99FF"/>
      <rgbColor rgb="FFF0ECFE"/>
      <rgbColor rgb="FF1D6AFF"/>
      <rgbColor rgb="FF34D399"/>
      <rgbColor rgb="FF99CC00"/>
      <rgbColor rgb="FFE8B800"/>
      <rgbColor rgb="FFFF9900"/>
      <rgbColor rgb="FFEF4444"/>
      <rgbColor rgb="FF666699"/>
      <rgbColor rgb="FF969696"/>
      <rgbColor rgb="FF003366"/>
      <rgbColor rgb="FF339966"/>
      <rgbColor rgb="FF141922"/>
      <rgbColor rgb="FF0E1219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66B66D-D742-4367-8F77-EF893E428447}" name="Table1" displayName="Table1" ref="B2:L10" totalsRowShown="0" headerRowDxfId="82" dataDxfId="83" headerRowBorderDxfId="96" tableBorderDxfId="97" totalsRowBorderDxfId="95">
  <autoFilter ref="B2:L10" xr:uid="{00000000-0009-0000-0000-000001000000}"/>
  <tableColumns count="11">
    <tableColumn id="1" xr3:uid="{78C0F07B-EF35-4DE7-80BA-2AF69DD60E26}" name="Workstream" dataDxfId="94"/>
    <tableColumn id="2" xr3:uid="{2712B9CE-CE47-43BA-A939-8E0919C5CBEB}" name="Tower / Function" dataDxfId="93"/>
    <tableColumn id="3" xr3:uid="{DD8BCFD0-2E39-4396-8B0F-22565AC35F4B}" name="Stream Lead" dataDxfId="92"/>
    <tableColumn id="4" xr3:uid="{630E0350-0137-4363-90A2-07372F0ACDBF}" name="Start Date" dataDxfId="91"/>
    <tableColumn id="5" xr3:uid="{105AA0A2-2A04-4007-A048-82048C60B17C}" name="Target End" dataDxfId="90"/>
    <tableColumn id="6" xr3:uid="{C853B402-F8ED-4895-8476-C74D639B50A9}" name="Status" dataDxfId="89"/>
    <tableColumn id="7" xr3:uid="{D881DD49-1A3F-43F3-9599-9E7D8498D677}" name="% Complete" dataDxfId="88"/>
    <tableColumn id="8" xr3:uid="{4E4331E4-8745-4368-BCA6-6807434CA142}" name="Phase" dataDxfId="87"/>
    <tableColumn id="9" xr3:uid="{C5D152BC-6612-4DD7-8011-EFAC1AF3091E}" name="Key Dependency" dataDxfId="86"/>
    <tableColumn id="10" xr3:uid="{C1FA5E22-7EAA-447E-A597-B5E9F4202819}" name="Next Milestone" dataDxfId="85"/>
    <tableColumn id="11" xr3:uid="{9C7FC363-C2A4-48CC-92EF-70D7E17B1BF7}" name="Comments" dataDxfId="8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BD2557-FA79-4CD5-BEA7-BE4B02C77B71}" name="Table2" displayName="Table2" ref="B2:L12" totalsRowShown="0" headerRowDxfId="66" dataDxfId="81" headerRowBorderDxfId="79" tableBorderDxfId="80" totalsRowBorderDxfId="78">
  <autoFilter ref="B2:L12" xr:uid="{00000000-0009-0000-0000-000002000000}"/>
  <tableColumns count="11">
    <tableColumn id="1" xr3:uid="{68E23B4E-44F5-4F81-A5DE-713C5D9D4210}" name="ID" dataDxfId="77"/>
    <tableColumn id="2" xr3:uid="{FCCD986A-1547-4DF8-A32E-E27AEA74DCFF}" name="Action Item" dataDxfId="76"/>
    <tableColumn id="3" xr3:uid="{772A1099-6E58-4CCD-A527-0EC32833FAAF}" name="Workstream" dataDxfId="75"/>
    <tableColumn id="4" xr3:uid="{38BDF4BF-BE57-4DBC-87EB-5EFA2F89B801}" name="Owner" dataDxfId="74"/>
    <tableColumn id="5" xr3:uid="{A280861F-E6A6-4A1F-A780-571C3FEED91A}" name="Priority" dataDxfId="73"/>
    <tableColumn id="6" xr3:uid="{5C61F355-9853-43F1-A877-9C41E2526540}" name="Due Date" dataDxfId="72"/>
    <tableColumn id="7" xr3:uid="{0147284A-B306-43CD-8090-57B2419597CA}" name="Status" dataDxfId="71"/>
    <tableColumn id="8" xr3:uid="{486DB039-F003-498E-B587-F65239F08326}" name="% Done" dataDxfId="70"/>
    <tableColumn id="9" xr3:uid="{3006FBC7-ED2D-4DB2-B93C-18DE8B9E571B}" name="Blocker / Dependency" dataDxfId="69"/>
    <tableColumn id="10" xr3:uid="{FBD95831-2490-45E8-A737-E00E258CED7D}" name="Last Update" dataDxfId="68"/>
    <tableColumn id="11" xr3:uid="{9D1C8196-C746-4215-A726-D490B1D8765E}" name="Comments" dataDxfId="6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D253D7-2150-4526-A23E-35574C466B21}" name="Table3" displayName="Table3" ref="B2:M8" totalsRowShown="0" headerRowDxfId="49" dataDxfId="50" headerRowBorderDxfId="64" tableBorderDxfId="65" totalsRowBorderDxfId="63">
  <autoFilter ref="B2:M8" xr:uid="{00000000-0009-0000-0000-000003000000}"/>
  <tableColumns count="12">
    <tableColumn id="1" xr3:uid="{A98AE415-EA00-4F69-88CA-7A3F78436DD4}" name="ID" dataDxfId="62"/>
    <tableColumn id="2" xr3:uid="{424996EB-9362-462E-94B3-E97A19372E6C}" name="Type" dataDxfId="61"/>
    <tableColumn id="3" xr3:uid="{17570375-76D5-43A4-9E59-E719B45B0B70}" name="Description" dataDxfId="60"/>
    <tableColumn id="4" xr3:uid="{0F38DF06-67F4-4A90-832C-AB55D83A526F}" name="Workstream" dataDxfId="59"/>
    <tableColumn id="5" xr3:uid="{C61F839A-E073-43BB-8355-B9E246EB2EC3}" name="Impact (1-5)" dataDxfId="58"/>
    <tableColumn id="6" xr3:uid="{FD4ED0CD-DC16-4456-8C60-A0149787F28B}" name="Probability (1-5)" dataDxfId="57"/>
    <tableColumn id="7" xr3:uid="{08679D6D-C37F-4BF0-9B14-32F7064B0D6A}" name="Risk Score" dataDxfId="56">
      <calculatedColumnFormula>F3*G3</calculatedColumnFormula>
    </tableColumn>
    <tableColumn id="8" xr3:uid="{92944735-3226-44AB-B019-75676E200C75}" name="Owner" dataDxfId="55"/>
    <tableColumn id="9" xr3:uid="{9581928A-5C64-4539-8F3A-4390E825061D}" name="Mitigation / Response" dataDxfId="54"/>
    <tableColumn id="10" xr3:uid="{F69A3866-5CF5-4C68-AD03-3F2894129E68}" name="Status" dataDxfId="53"/>
    <tableColumn id="11" xr3:uid="{9DBE7EE8-BFE8-49A2-928F-1A0C2FE6F2A4}" name="Date Raised" dataDxfId="52"/>
    <tableColumn id="12" xr3:uid="{335E1C00-74D4-4767-9983-75B426196AA9}" name="Target Close" dataDxfId="51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0E0062-0B0C-4815-875D-D783C55FC8FD}" name="Table4" displayName="Table4" ref="B2:L10" totalsRowShown="0" headerRowDxfId="33" dataDxfId="34" headerRowBorderDxfId="47" tableBorderDxfId="48" totalsRowBorderDxfId="46">
  <autoFilter ref="B2:L10" xr:uid="{00000000-0009-0000-0000-000004000000}"/>
  <tableColumns count="11">
    <tableColumn id="1" xr3:uid="{0DDE2DB1-03CB-496C-9E1A-61FFAFD571B5}" name="ID" dataDxfId="45"/>
    <tableColumn id="2" xr3:uid="{B16C9C45-ABFC-4F2B-B779-EDB240DB5E35}" name="Milestone" dataDxfId="44"/>
    <tableColumn id="3" xr3:uid="{F05ACE33-516E-4E32-9326-26688FBD6970}" name="Workstream" dataDxfId="43"/>
    <tableColumn id="4" xr3:uid="{46D01DCE-474B-48AB-9628-64A297E82E77}" name="Owner" dataDxfId="42"/>
    <tableColumn id="5" xr3:uid="{672EE4D4-7C9F-49D0-BC85-58AE5DD39685}" name="Planned Date" dataDxfId="41"/>
    <tableColumn id="6" xr3:uid="{86E82F53-8961-4FD4-A202-01AAFC528E01}" name="Revised Date" dataDxfId="40"/>
    <tableColumn id="7" xr3:uid="{9C7C568B-1811-442A-B56B-C5BEF327DA1E}" name="Actual Date" dataDxfId="39"/>
    <tableColumn id="8" xr3:uid="{6DABC56E-90E5-4534-9F5E-C7296136972E}" name="Status" dataDxfId="38"/>
    <tableColumn id="9" xr3:uid="{37ED915E-5A35-4DEF-8BD5-2E7C72C6E492}" name="Gate / Approval" dataDxfId="37"/>
    <tableColumn id="10" xr3:uid="{6496BDEF-7FB6-4B68-B12D-82595FC0BDFE}" name="Dependencies" dataDxfId="36"/>
    <tableColumn id="11" xr3:uid="{6341B8A0-06AD-44D2-80E3-A41D344A6CDE}" name="Notes" dataDxfId="35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9BF6C8-374E-4E07-AD3A-B5F16A1A4541}" name="Table5" displayName="Table5" ref="B3:K13" totalsRowShown="0" headerRowDxfId="27" dataDxfId="28" headerRowBorderDxfId="31" tableBorderDxfId="32" totalsRowBorderDxfId="30">
  <autoFilter ref="B3:K13" xr:uid="{929BF6C8-374E-4E07-AD3A-B5F16A1A4541}"/>
  <tableColumns count="10">
    <tableColumn id="1" xr3:uid="{08CFA2A6-55B6-452F-96B4-CE2035F9850B}" name="Activity / Deliverable" dataDxfId="29"/>
    <tableColumn id="2" xr3:uid="{AE035908-FB5C-469B-AFD4-52A1F4FA0977}" name="Programme Director" dataDxfId="26"/>
    <tableColumn id="3" xr3:uid="{2B5566DB-463A-4523-A7BA-25433719C0BF}" name="Workstream Lead" dataDxfId="25"/>
    <tableColumn id="4" xr3:uid="{BCEE7917-25B8-44E6-A0BD-FBEA238DF6C6}" name="Process SME" dataDxfId="24"/>
    <tableColumn id="5" xr3:uid="{574613E1-0479-4487-8889-DE0C43E11931}" name="IT / SAP Team" dataDxfId="23"/>
    <tableColumn id="6" xr3:uid="{AA855FA1-FA48-47D4-8829-4B57C848F23D}" name="Change Management" dataDxfId="22"/>
    <tableColumn id="7" xr3:uid="{DA625586-889F-4449-B011-18F72F487D69}" name="Finance Controller" dataDxfId="21"/>
    <tableColumn id="8" xr3:uid="{6870DA63-A979-4678-A6DF-213C014BD166}" name="Legal / Compliance" dataDxfId="20"/>
    <tableColumn id="9" xr3:uid="{A2DECD6B-EB38-49FD-98F6-E8C7DAF87DDF}" name="SteerCo" dataDxfId="19"/>
    <tableColumn id="10" xr3:uid="{D6FBF61A-DFB4-49B7-AC97-3E34656886AB}" name="External Consultant" dataDxfId="18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0298B1-8119-4641-AC5E-3237AED2496F}" name="Table6" displayName="Table6" ref="B2:F4" totalsRowShown="0" headerRowDxfId="0" headerRowBorderDxfId="2" tableBorderDxfId="3" totalsRowBorderDxfId="1">
  <autoFilter ref="B2:F4" xr:uid="{B30298B1-8119-4641-AC5E-3237AED2496F}"/>
  <tableColumns count="5">
    <tableColumn id="1" xr3:uid="{935F1A9D-F3D0-4A90-ABAC-25B7810D4F86}" name="Date"/>
    <tableColumn id="2" xr3:uid="{FB86B11C-CAEB-40E9-A31C-25BD73DB7026}" name="Changed By"/>
    <tableColumn id="3" xr3:uid="{52B1B710-CB80-427C-91AA-90EA75743FCC}" name="Sheet"/>
    <tableColumn id="4" xr3:uid="{C725A0F8-ADDA-43B1-8EAC-0AA1367406B4}" name="Change Description"/>
    <tableColumn id="5" xr3:uid="{41EB63BE-9578-44C7-9299-CBC0276E3C8A}" name="Reas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D6AFF"/>
    <pageSetUpPr fitToPage="1"/>
  </sheetPr>
  <dimension ref="A1:L13"/>
  <sheetViews>
    <sheetView showGridLines="0" tabSelected="1" zoomScaleNormal="100" workbookViewId="0">
      <selection activeCell="C12" sqref="C12:E12"/>
    </sheetView>
  </sheetViews>
  <sheetFormatPr defaultColWidth="8.6640625" defaultRowHeight="14.4" x14ac:dyDescent="0.3"/>
  <cols>
    <col min="1" max="1" width="3" customWidth="1"/>
    <col min="2" max="2" width="24.21875" customWidth="1"/>
    <col min="3" max="6" width="16" customWidth="1"/>
    <col min="7" max="7" width="5" customWidth="1"/>
    <col min="8" max="8" width="20" customWidth="1"/>
    <col min="9" max="9" width="16" customWidth="1"/>
    <col min="10" max="10" width="14" customWidth="1"/>
    <col min="11" max="12" width="12" customWidth="1"/>
  </cols>
  <sheetData>
    <row r="1" spans="1:12" ht="49.5" customHeight="1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7.75" customHeight="1" x14ac:dyDescent="0.3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4" spans="1:12" ht="48" customHeight="1" x14ac:dyDescent="0.3">
      <c r="B4" s="17">
        <f>COUNTA(Workstreams!B3:B50)</f>
        <v>8</v>
      </c>
      <c r="C4" s="17"/>
      <c r="D4" s="18">
        <f>COUNTIF(Workstreams!G3:G50,"On Track")</f>
        <v>3</v>
      </c>
      <c r="E4" s="18"/>
      <c r="F4" s="19">
        <f>COUNTIF(Workstreams!G3:G50,"At Risk")</f>
        <v>1</v>
      </c>
      <c r="G4" s="19"/>
      <c r="H4" s="20">
        <f>COUNTIF(Workstreams!G3:G50,"Blocked")+COUNTIF(Workstreams!G3:G50,"Off Track")</f>
        <v>0</v>
      </c>
      <c r="I4" s="20"/>
      <c r="J4" s="21">
        <f>COUNTIF(Actions!H3:H200,"Open")+COUNTIF(Actions!H3:H200,"In Progress")</f>
        <v>10</v>
      </c>
      <c r="K4" s="21"/>
    </row>
    <row r="5" spans="1:12" ht="21.75" customHeight="1" x14ac:dyDescent="0.3">
      <c r="B5" s="10" t="s">
        <v>2</v>
      </c>
      <c r="C5" s="10"/>
      <c r="D5" s="11" t="s">
        <v>3</v>
      </c>
      <c r="E5" s="11"/>
      <c r="F5" s="12" t="s">
        <v>4</v>
      </c>
      <c r="G5" s="12"/>
      <c r="H5" s="13" t="s">
        <v>5</v>
      </c>
      <c r="I5" s="13"/>
      <c r="J5" s="14" t="s">
        <v>6</v>
      </c>
      <c r="K5" s="14"/>
    </row>
    <row r="7" spans="1:12" x14ac:dyDescent="0.3">
      <c r="B7" s="8" t="s">
        <v>7</v>
      </c>
      <c r="C7" s="8"/>
      <c r="D7" s="8"/>
      <c r="E7" s="8"/>
      <c r="G7" s="8" t="s">
        <v>8</v>
      </c>
      <c r="H7" s="8"/>
      <c r="I7" s="8"/>
      <c r="J7" s="8"/>
      <c r="K7" s="8"/>
      <c r="L7" s="8"/>
    </row>
    <row r="8" spans="1:12" ht="15" customHeight="1" x14ac:dyDescent="0.3">
      <c r="B8" s="1" t="s">
        <v>9</v>
      </c>
      <c r="C8" s="7" t="s">
        <v>10</v>
      </c>
      <c r="D8" s="7"/>
      <c r="E8" s="7"/>
      <c r="G8" s="2" t="s">
        <v>11</v>
      </c>
      <c r="H8" s="9" t="s">
        <v>12</v>
      </c>
      <c r="I8" s="9"/>
      <c r="J8" s="2" t="s">
        <v>13</v>
      </c>
      <c r="K8" s="2" t="s">
        <v>14</v>
      </c>
      <c r="L8" s="2" t="s">
        <v>15</v>
      </c>
    </row>
    <row r="9" spans="1:12" x14ac:dyDescent="0.3">
      <c r="B9" s="1" t="s">
        <v>16</v>
      </c>
      <c r="C9" s="7" t="s">
        <v>17</v>
      </c>
      <c r="D9" s="7"/>
      <c r="E9" s="7"/>
      <c r="G9" s="3">
        <v>1</v>
      </c>
      <c r="H9" s="6"/>
      <c r="I9" s="6"/>
      <c r="J9" s="4"/>
      <c r="K9" s="4"/>
      <c r="L9" s="4"/>
    </row>
    <row r="10" spans="1:12" x14ac:dyDescent="0.3">
      <c r="B10" s="1" t="s">
        <v>18</v>
      </c>
      <c r="C10" s="7" t="s">
        <v>19</v>
      </c>
      <c r="D10" s="7"/>
      <c r="E10" s="7"/>
      <c r="G10" s="3">
        <v>2</v>
      </c>
      <c r="H10" s="6"/>
      <c r="I10" s="6"/>
      <c r="J10" s="4"/>
      <c r="K10" s="4"/>
      <c r="L10" s="4"/>
    </row>
    <row r="11" spans="1:12" x14ac:dyDescent="0.3">
      <c r="B11" s="1" t="s">
        <v>20</v>
      </c>
      <c r="C11" s="7"/>
      <c r="D11" s="7"/>
      <c r="E11" s="7"/>
      <c r="G11" s="3">
        <v>3</v>
      </c>
      <c r="H11" s="6"/>
      <c r="I11" s="6"/>
      <c r="J11" s="4"/>
      <c r="K11" s="4"/>
      <c r="L11" s="4"/>
    </row>
    <row r="12" spans="1:12" x14ac:dyDescent="0.3">
      <c r="B12" s="1" t="s">
        <v>21</v>
      </c>
      <c r="C12" s="7" t="s">
        <v>22</v>
      </c>
      <c r="D12" s="7"/>
      <c r="E12" s="7"/>
      <c r="G12" s="3">
        <v>4</v>
      </c>
      <c r="H12" s="6"/>
      <c r="I12" s="6"/>
      <c r="J12" s="4"/>
      <c r="K12" s="4"/>
      <c r="L12" s="4"/>
    </row>
    <row r="13" spans="1:12" x14ac:dyDescent="0.3">
      <c r="G13" s="3">
        <v>5</v>
      </c>
      <c r="H13" s="6"/>
      <c r="I13" s="6"/>
      <c r="J13" s="4"/>
      <c r="K13" s="4"/>
      <c r="L13" s="4"/>
    </row>
  </sheetData>
  <mergeCells count="25">
    <mergeCell ref="A1:L1"/>
    <mergeCell ref="A2:L2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7:E7"/>
    <mergeCell ref="G7:L7"/>
    <mergeCell ref="C8:E8"/>
    <mergeCell ref="H8:I8"/>
    <mergeCell ref="C9:E9"/>
    <mergeCell ref="H9:I9"/>
    <mergeCell ref="H13:I13"/>
    <mergeCell ref="C10:E10"/>
    <mergeCell ref="H10:I10"/>
    <mergeCell ref="C11:E11"/>
    <mergeCell ref="H11:I11"/>
    <mergeCell ref="C12:E12"/>
    <mergeCell ref="H12:I1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B800"/>
    <pageSetUpPr fitToPage="1"/>
  </sheetPr>
  <dimension ref="B1:L10"/>
  <sheetViews>
    <sheetView showGridLines="0" topLeftCell="B1" zoomScaleNormal="100" workbookViewId="0">
      <pane ySplit="2" topLeftCell="A3" activePane="bottomLeft" state="frozen"/>
      <selection pane="bottomLeft" activeCell="K9" sqref="K9"/>
    </sheetView>
  </sheetViews>
  <sheetFormatPr defaultColWidth="8.6640625" defaultRowHeight="14.4" x14ac:dyDescent="0.3"/>
  <cols>
    <col min="1" max="1" width="2.21875" customWidth="1"/>
    <col min="2" max="2" width="36.6640625" customWidth="1"/>
    <col min="3" max="3" width="20" customWidth="1"/>
    <col min="4" max="4" width="18" customWidth="1"/>
    <col min="5" max="7" width="14" customWidth="1"/>
    <col min="8" max="8" width="14.77734375" customWidth="1"/>
    <col min="9" max="9" width="16" customWidth="1"/>
    <col min="10" max="10" width="22" customWidth="1"/>
    <col min="11" max="11" width="24" customWidth="1"/>
    <col min="12" max="12" width="30" customWidth="1"/>
  </cols>
  <sheetData>
    <row r="1" spans="2:12" ht="39.75" customHeight="1" x14ac:dyDescent="0.3">
      <c r="B1" s="5" t="s">
        <v>23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12" ht="27.6" x14ac:dyDescent="0.3">
      <c r="B2" s="31" t="s">
        <v>24</v>
      </c>
      <c r="C2" s="32" t="s">
        <v>25</v>
      </c>
      <c r="D2" s="32" t="s">
        <v>26</v>
      </c>
      <c r="E2" s="32" t="s">
        <v>16</v>
      </c>
      <c r="F2" s="32" t="s">
        <v>27</v>
      </c>
      <c r="G2" s="32" t="s">
        <v>15</v>
      </c>
      <c r="H2" s="32" t="s">
        <v>28</v>
      </c>
      <c r="I2" s="32" t="s">
        <v>29</v>
      </c>
      <c r="J2" s="32" t="s">
        <v>30</v>
      </c>
      <c r="K2" s="32" t="s">
        <v>31</v>
      </c>
      <c r="L2" s="33" t="s">
        <v>32</v>
      </c>
    </row>
    <row r="3" spans="2:12" ht="26.4" x14ac:dyDescent="0.3">
      <c r="B3" s="27" t="s">
        <v>33</v>
      </c>
      <c r="C3" s="23" t="s">
        <v>34</v>
      </c>
      <c r="D3" s="23" t="s">
        <v>35</v>
      </c>
      <c r="E3" s="23" t="s">
        <v>36</v>
      </c>
      <c r="F3" s="23" t="s">
        <v>37</v>
      </c>
      <c r="G3" s="23" t="s">
        <v>38</v>
      </c>
      <c r="H3" s="24">
        <v>0</v>
      </c>
      <c r="I3" s="23" t="s">
        <v>39</v>
      </c>
      <c r="J3" s="23" t="s">
        <v>40</v>
      </c>
      <c r="K3" s="23" t="s">
        <v>41</v>
      </c>
      <c r="L3" s="29"/>
    </row>
    <row r="4" spans="2:12" x14ac:dyDescent="0.3">
      <c r="B4" s="28" t="s">
        <v>42</v>
      </c>
      <c r="C4" s="25" t="s">
        <v>43</v>
      </c>
      <c r="D4" s="25" t="s">
        <v>35</v>
      </c>
      <c r="E4" s="25" t="s">
        <v>36</v>
      </c>
      <c r="F4" s="25" t="s">
        <v>44</v>
      </c>
      <c r="G4" s="25" t="s">
        <v>38</v>
      </c>
      <c r="H4" s="26">
        <v>0</v>
      </c>
      <c r="I4" s="25" t="s">
        <v>45</v>
      </c>
      <c r="J4" s="25" t="s">
        <v>46</v>
      </c>
      <c r="K4" s="25" t="s">
        <v>47</v>
      </c>
      <c r="L4" s="30"/>
    </row>
    <row r="5" spans="2:12" x14ac:dyDescent="0.3">
      <c r="B5" s="27" t="s">
        <v>48</v>
      </c>
      <c r="C5" s="23" t="s">
        <v>49</v>
      </c>
      <c r="D5" s="23" t="s">
        <v>35</v>
      </c>
      <c r="E5" s="23" t="s">
        <v>50</v>
      </c>
      <c r="F5" s="23" t="s">
        <v>51</v>
      </c>
      <c r="G5" s="23" t="s">
        <v>52</v>
      </c>
      <c r="H5" s="24">
        <v>0</v>
      </c>
      <c r="I5" s="23" t="s">
        <v>53</v>
      </c>
      <c r="J5" s="23" t="s">
        <v>54</v>
      </c>
      <c r="K5" s="23" t="s">
        <v>55</v>
      </c>
      <c r="L5" s="29"/>
    </row>
    <row r="6" spans="2:12" x14ac:dyDescent="0.3">
      <c r="B6" s="28" t="s">
        <v>56</v>
      </c>
      <c r="C6" s="25" t="s">
        <v>57</v>
      </c>
      <c r="D6" s="25" t="s">
        <v>35</v>
      </c>
      <c r="E6" s="25" t="s">
        <v>58</v>
      </c>
      <c r="F6" s="25" t="s">
        <v>59</v>
      </c>
      <c r="G6" s="25" t="s">
        <v>60</v>
      </c>
      <c r="H6" s="26">
        <v>0</v>
      </c>
      <c r="I6" s="25" t="s">
        <v>39</v>
      </c>
      <c r="J6" s="25" t="s">
        <v>61</v>
      </c>
      <c r="K6" s="25" t="s">
        <v>62</v>
      </c>
      <c r="L6" s="30" t="s">
        <v>63</v>
      </c>
    </row>
    <row r="7" spans="2:12" x14ac:dyDescent="0.3">
      <c r="B7" s="27" t="s">
        <v>64</v>
      </c>
      <c r="C7" s="23" t="s">
        <v>65</v>
      </c>
      <c r="D7" s="23" t="s">
        <v>35</v>
      </c>
      <c r="E7" s="23" t="s">
        <v>66</v>
      </c>
      <c r="F7" s="23" t="s">
        <v>37</v>
      </c>
      <c r="G7" s="23" t="s">
        <v>52</v>
      </c>
      <c r="H7" s="24">
        <v>0</v>
      </c>
      <c r="I7" s="23" t="s">
        <v>53</v>
      </c>
      <c r="J7" s="23" t="s">
        <v>67</v>
      </c>
      <c r="K7" s="23" t="s">
        <v>68</v>
      </c>
      <c r="L7" s="29"/>
    </row>
    <row r="8" spans="2:12" x14ac:dyDescent="0.3">
      <c r="B8" s="28" t="s">
        <v>69</v>
      </c>
      <c r="C8" s="25" t="s">
        <v>70</v>
      </c>
      <c r="D8" s="25" t="s">
        <v>35</v>
      </c>
      <c r="E8" s="25" t="s">
        <v>17</v>
      </c>
      <c r="F8" s="25" t="s">
        <v>71</v>
      </c>
      <c r="G8" s="25" t="s">
        <v>38</v>
      </c>
      <c r="H8" s="26">
        <v>0.15</v>
      </c>
      <c r="I8" s="25" t="s">
        <v>39</v>
      </c>
      <c r="J8" s="25" t="s">
        <v>72</v>
      </c>
      <c r="K8" s="25" t="s">
        <v>73</v>
      </c>
      <c r="L8" s="30"/>
    </row>
    <row r="9" spans="2:12" ht="26.4" x14ac:dyDescent="0.3">
      <c r="B9" s="27" t="s">
        <v>74</v>
      </c>
      <c r="C9" s="23" t="s">
        <v>75</v>
      </c>
      <c r="D9" s="23" t="s">
        <v>35</v>
      </c>
      <c r="E9" s="23" t="s">
        <v>76</v>
      </c>
      <c r="F9" s="23" t="s">
        <v>59</v>
      </c>
      <c r="G9" s="23" t="s">
        <v>52</v>
      </c>
      <c r="H9" s="24">
        <v>0</v>
      </c>
      <c r="I9" s="23" t="s">
        <v>53</v>
      </c>
      <c r="J9" s="23" t="s">
        <v>77</v>
      </c>
      <c r="K9" s="23" t="s">
        <v>78</v>
      </c>
      <c r="L9" s="29"/>
    </row>
    <row r="10" spans="2:12" x14ac:dyDescent="0.3">
      <c r="B10" s="34" t="s">
        <v>79</v>
      </c>
      <c r="C10" s="35" t="s">
        <v>80</v>
      </c>
      <c r="D10" s="35" t="s">
        <v>35</v>
      </c>
      <c r="E10" s="35" t="s">
        <v>50</v>
      </c>
      <c r="F10" s="35" t="s">
        <v>81</v>
      </c>
      <c r="G10" s="35" t="s">
        <v>52</v>
      </c>
      <c r="H10" s="36">
        <v>0</v>
      </c>
      <c r="I10" s="35" t="s">
        <v>45</v>
      </c>
      <c r="J10" s="35" t="s">
        <v>82</v>
      </c>
      <c r="K10" s="35" t="s">
        <v>83</v>
      </c>
      <c r="L10" s="37"/>
    </row>
  </sheetData>
  <mergeCells count="1">
    <mergeCell ref="B1:L1"/>
  </mergeCells>
  <conditionalFormatting sqref="G3:G50">
    <cfRule type="cellIs" dxfId="17" priority="2" operator="equal">
      <formula>"On Track"</formula>
    </cfRule>
    <cfRule type="cellIs" dxfId="16" priority="3" operator="equal">
      <formula>"At Risk"</formula>
    </cfRule>
    <cfRule type="cellIs" dxfId="15" priority="4" operator="equal">
      <formula>"Blocked"</formula>
    </cfRule>
    <cfRule type="cellIs" dxfId="14" priority="5" operator="equal">
      <formula>"Off Track"</formula>
    </cfRule>
  </conditionalFormatting>
  <conditionalFormatting sqref="H3:H50">
    <cfRule type="dataBar" priority="6">
      <dataBar>
        <cfvo type="num" val="0"/>
        <cfvo type="num" val="1"/>
        <color rgb="FF1D6AFF"/>
      </dataBar>
      <extLst>
        <ext xmlns:x14="http://schemas.microsoft.com/office/spreadsheetml/2009/9/main" uri="{B025F937-C7B1-47D3-B67F-A62EFF666E3E}">
          <x14:id>{4845F0F3-7179-42EB-9AC5-AC8AFF18CC5C}</x14:id>
        </ext>
      </extLst>
    </cfRule>
  </conditionalFormatting>
  <dataValidations count="2">
    <dataValidation type="list" allowBlank="1" error="Please select a valid status" sqref="G3:G50" xr:uid="{00000000-0002-0000-0100-000000000000}">
      <formula1>"On Track,At Risk,Blocked,Off Track,Not Started,Complete"</formula1>
      <formula2>0</formula2>
    </dataValidation>
    <dataValidation type="list" allowBlank="1" sqref="I3:I50" xr:uid="{00000000-0002-0000-0100-000001000000}">
      <formula1>"Pre-Discovery,Discovery,Design,Build,Test,Deploy,Hypercare,Complete"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45F0F3-7179-42EB-9AC5-AC8AFF18CC5C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1D6AFF"/>
            </x14:dataBar>
          </x14:cfRule>
          <xm:sqref>H3:H50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4D399"/>
    <pageSetUpPr fitToPage="1"/>
  </sheetPr>
  <dimension ref="B1:L12"/>
  <sheetViews>
    <sheetView showGridLines="0" zoomScaleNormal="100" workbookViewId="0">
      <pane ySplit="2" topLeftCell="A3" activePane="bottomLeft" state="frozen"/>
      <selection pane="bottomLeft" activeCell="B2" sqref="B2:L12"/>
    </sheetView>
  </sheetViews>
  <sheetFormatPr defaultColWidth="8.6640625" defaultRowHeight="14.4" x14ac:dyDescent="0.3"/>
  <cols>
    <col min="1" max="1" width="2.33203125" customWidth="1"/>
    <col min="2" max="2" width="8" customWidth="1"/>
    <col min="3" max="3" width="35" customWidth="1"/>
    <col min="4" max="4" width="22" customWidth="1"/>
    <col min="5" max="5" width="16" customWidth="1"/>
    <col min="6" max="6" width="12" customWidth="1"/>
    <col min="7" max="7" width="14" customWidth="1"/>
    <col min="8" max="8" width="12" customWidth="1"/>
    <col min="9" max="9" width="10.44140625" customWidth="1"/>
    <col min="10" max="10" width="24.33203125" customWidth="1"/>
    <col min="11" max="11" width="14.44140625" customWidth="1"/>
    <col min="12" max="12" width="28" customWidth="1"/>
  </cols>
  <sheetData>
    <row r="1" spans="2:12" ht="39.75" customHeight="1" x14ac:dyDescent="0.3">
      <c r="B1" s="5" t="s">
        <v>84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12" x14ac:dyDescent="0.3">
      <c r="B2" s="31" t="s">
        <v>85</v>
      </c>
      <c r="C2" s="32" t="s">
        <v>86</v>
      </c>
      <c r="D2" s="32" t="s">
        <v>24</v>
      </c>
      <c r="E2" s="32" t="s">
        <v>13</v>
      </c>
      <c r="F2" s="32" t="s">
        <v>87</v>
      </c>
      <c r="G2" s="32" t="s">
        <v>88</v>
      </c>
      <c r="H2" s="32" t="s">
        <v>15</v>
      </c>
      <c r="I2" s="32" t="s">
        <v>89</v>
      </c>
      <c r="J2" s="32" t="s">
        <v>90</v>
      </c>
      <c r="K2" s="32" t="s">
        <v>91</v>
      </c>
      <c r="L2" s="33" t="s">
        <v>32</v>
      </c>
    </row>
    <row r="3" spans="2:12" ht="26.4" x14ac:dyDescent="0.3">
      <c r="B3" s="40" t="s">
        <v>92</v>
      </c>
      <c r="C3" s="23" t="s">
        <v>93</v>
      </c>
      <c r="D3" s="23" t="s">
        <v>33</v>
      </c>
      <c r="E3" s="23" t="s">
        <v>94</v>
      </c>
      <c r="F3" s="23" t="s">
        <v>95</v>
      </c>
      <c r="G3" s="23" t="s">
        <v>58</v>
      </c>
      <c r="H3" s="23" t="s">
        <v>96</v>
      </c>
      <c r="I3" s="24">
        <v>0</v>
      </c>
      <c r="J3" s="23"/>
      <c r="K3" s="23"/>
      <c r="L3" s="29"/>
    </row>
    <row r="4" spans="2:12" ht="26.4" x14ac:dyDescent="0.3">
      <c r="B4" s="41" t="s">
        <v>97</v>
      </c>
      <c r="C4" s="25" t="s">
        <v>98</v>
      </c>
      <c r="D4" s="25" t="s">
        <v>33</v>
      </c>
      <c r="E4" s="25" t="s">
        <v>94</v>
      </c>
      <c r="F4" s="25" t="s">
        <v>95</v>
      </c>
      <c r="G4" s="25" t="s">
        <v>99</v>
      </c>
      <c r="H4" s="25" t="s">
        <v>96</v>
      </c>
      <c r="I4" s="26">
        <v>0</v>
      </c>
      <c r="J4" s="25"/>
      <c r="K4" s="25"/>
      <c r="L4" s="30"/>
    </row>
    <row r="5" spans="2:12" ht="26.4" x14ac:dyDescent="0.3">
      <c r="B5" s="40" t="s">
        <v>100</v>
      </c>
      <c r="C5" s="23" t="s">
        <v>101</v>
      </c>
      <c r="D5" s="23" t="s">
        <v>69</v>
      </c>
      <c r="E5" s="23" t="s">
        <v>94</v>
      </c>
      <c r="F5" s="23" t="s">
        <v>102</v>
      </c>
      <c r="G5" s="23" t="s">
        <v>103</v>
      </c>
      <c r="H5" s="23" t="s">
        <v>104</v>
      </c>
      <c r="I5" s="24">
        <v>0.3</v>
      </c>
      <c r="J5" s="23"/>
      <c r="K5" s="23"/>
      <c r="L5" s="29"/>
    </row>
    <row r="6" spans="2:12" ht="26.4" x14ac:dyDescent="0.3">
      <c r="B6" s="41" t="s">
        <v>105</v>
      </c>
      <c r="C6" s="25" t="s">
        <v>106</v>
      </c>
      <c r="D6" s="25" t="s">
        <v>56</v>
      </c>
      <c r="E6" s="25" t="s">
        <v>94</v>
      </c>
      <c r="F6" s="25" t="s">
        <v>95</v>
      </c>
      <c r="G6" s="25" t="s">
        <v>107</v>
      </c>
      <c r="H6" s="25" t="s">
        <v>96</v>
      </c>
      <c r="I6" s="26">
        <v>0</v>
      </c>
      <c r="J6" s="25" t="s">
        <v>108</v>
      </c>
      <c r="K6" s="25"/>
      <c r="L6" s="30"/>
    </row>
    <row r="7" spans="2:12" ht="26.4" x14ac:dyDescent="0.3">
      <c r="B7" s="40" t="s">
        <v>109</v>
      </c>
      <c r="C7" s="23" t="s">
        <v>110</v>
      </c>
      <c r="D7" s="23" t="s">
        <v>56</v>
      </c>
      <c r="E7" s="23" t="s">
        <v>94</v>
      </c>
      <c r="F7" s="23" t="s">
        <v>111</v>
      </c>
      <c r="G7" s="23" t="s">
        <v>112</v>
      </c>
      <c r="H7" s="23" t="s">
        <v>96</v>
      </c>
      <c r="I7" s="24">
        <v>0</v>
      </c>
      <c r="J7" s="23" t="s">
        <v>113</v>
      </c>
      <c r="K7" s="23"/>
      <c r="L7" s="29"/>
    </row>
    <row r="8" spans="2:12" ht="26.4" x14ac:dyDescent="0.3">
      <c r="B8" s="41" t="s">
        <v>114</v>
      </c>
      <c r="C8" s="25" t="s">
        <v>115</v>
      </c>
      <c r="D8" s="25" t="s">
        <v>64</v>
      </c>
      <c r="E8" s="25" t="s">
        <v>94</v>
      </c>
      <c r="F8" s="25" t="s">
        <v>95</v>
      </c>
      <c r="G8" s="25" t="s">
        <v>116</v>
      </c>
      <c r="H8" s="25" t="s">
        <v>96</v>
      </c>
      <c r="I8" s="26">
        <v>0</v>
      </c>
      <c r="J8" s="25"/>
      <c r="K8" s="25"/>
      <c r="L8" s="30"/>
    </row>
    <row r="9" spans="2:12" ht="26.4" x14ac:dyDescent="0.3">
      <c r="B9" s="40" t="s">
        <v>117</v>
      </c>
      <c r="C9" s="23" t="s">
        <v>118</v>
      </c>
      <c r="D9" s="23" t="s">
        <v>79</v>
      </c>
      <c r="E9" s="23" t="s">
        <v>94</v>
      </c>
      <c r="F9" s="23" t="s">
        <v>111</v>
      </c>
      <c r="G9" s="23" t="s">
        <v>119</v>
      </c>
      <c r="H9" s="23" t="s">
        <v>96</v>
      </c>
      <c r="I9" s="24">
        <v>0</v>
      </c>
      <c r="J9" s="23"/>
      <c r="K9" s="23"/>
      <c r="L9" s="29"/>
    </row>
    <row r="10" spans="2:12" ht="26.4" x14ac:dyDescent="0.3">
      <c r="B10" s="41" t="s">
        <v>120</v>
      </c>
      <c r="C10" s="25" t="s">
        <v>121</v>
      </c>
      <c r="D10" s="25" t="s">
        <v>74</v>
      </c>
      <c r="E10" s="25" t="s">
        <v>94</v>
      </c>
      <c r="F10" s="25" t="s">
        <v>95</v>
      </c>
      <c r="G10" s="25" t="s">
        <v>71</v>
      </c>
      <c r="H10" s="25" t="s">
        <v>96</v>
      </c>
      <c r="I10" s="26">
        <v>0</v>
      </c>
      <c r="J10" s="25" t="s">
        <v>122</v>
      </c>
      <c r="K10" s="25"/>
      <c r="L10" s="30"/>
    </row>
    <row r="11" spans="2:12" ht="26.4" x14ac:dyDescent="0.3">
      <c r="B11" s="40" t="s">
        <v>123</v>
      </c>
      <c r="C11" s="23" t="s">
        <v>124</v>
      </c>
      <c r="D11" s="23" t="s">
        <v>42</v>
      </c>
      <c r="E11" s="23" t="s">
        <v>94</v>
      </c>
      <c r="F11" s="23" t="s">
        <v>111</v>
      </c>
      <c r="G11" s="23" t="s">
        <v>107</v>
      </c>
      <c r="H11" s="23" t="s">
        <v>96</v>
      </c>
      <c r="I11" s="24">
        <v>0</v>
      </c>
      <c r="J11" s="23"/>
      <c r="K11" s="23"/>
      <c r="L11" s="29"/>
    </row>
    <row r="12" spans="2:12" ht="26.4" x14ac:dyDescent="0.3">
      <c r="B12" s="42" t="s">
        <v>125</v>
      </c>
      <c r="C12" s="35" t="s">
        <v>126</v>
      </c>
      <c r="D12" s="35" t="s">
        <v>69</v>
      </c>
      <c r="E12" s="35" t="s">
        <v>94</v>
      </c>
      <c r="F12" s="35" t="s">
        <v>102</v>
      </c>
      <c r="G12" s="35" t="s">
        <v>127</v>
      </c>
      <c r="H12" s="35" t="s">
        <v>104</v>
      </c>
      <c r="I12" s="36">
        <v>0.5</v>
      </c>
      <c r="J12" s="35"/>
      <c r="K12" s="35"/>
      <c r="L12" s="37" t="s">
        <v>128</v>
      </c>
    </row>
  </sheetData>
  <mergeCells count="1">
    <mergeCell ref="B1:L1"/>
  </mergeCells>
  <conditionalFormatting sqref="F3:F200">
    <cfRule type="cellIs" dxfId="13" priority="2" operator="equal">
      <formula>"Critical"</formula>
    </cfRule>
    <cfRule type="cellIs" dxfId="12" priority="3" operator="equal">
      <formula>"High"</formula>
    </cfRule>
  </conditionalFormatting>
  <conditionalFormatting sqref="H3:H200">
    <cfRule type="cellIs" dxfId="11" priority="4" operator="equal">
      <formula>"Complete"</formula>
    </cfRule>
    <cfRule type="cellIs" dxfId="10" priority="5" operator="equal">
      <formula>"Blocked"</formula>
    </cfRule>
  </conditionalFormatting>
  <conditionalFormatting sqref="I3:I200">
    <cfRule type="dataBar" priority="6">
      <dataBar>
        <cfvo type="num" val="0"/>
        <cfvo type="num" val="1"/>
        <color rgb="FF34D399"/>
      </dataBar>
      <extLst>
        <ext xmlns:x14="http://schemas.microsoft.com/office/spreadsheetml/2009/9/main" uri="{B025F937-C7B1-47D3-B67F-A62EFF666E3E}">
          <x14:id>{40C3DDEF-DE89-45FF-9390-5B94246232C3}</x14:id>
        </ext>
      </extLst>
    </cfRule>
  </conditionalFormatting>
  <dataValidations count="2">
    <dataValidation type="list" allowBlank="1" sqref="F3:F200" xr:uid="{00000000-0002-0000-0200-000000000000}">
      <formula1>"Critical,High,Medium,Low"</formula1>
      <formula2>0</formula2>
    </dataValidation>
    <dataValidation type="list" allowBlank="1" sqref="H3:H200" xr:uid="{00000000-0002-0000-0200-000001000000}">
      <formula1>"Open,In Progress,Blocked,Complete,Cancelled"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C3DDEF-DE89-45FF-9390-5B94246232C3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34D399"/>
            </x14:dataBar>
          </x14:cfRule>
          <xm:sqref>I3:I200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F4444"/>
    <pageSetUpPr fitToPage="1"/>
  </sheetPr>
  <dimension ref="B1:M8"/>
  <sheetViews>
    <sheetView showGridLines="0" zoomScaleNormal="100" workbookViewId="0">
      <pane ySplit="2" topLeftCell="A3" activePane="bottomLeft" state="frozen"/>
      <selection pane="bottomLeft" activeCell="A2" sqref="A1:A1048576"/>
    </sheetView>
  </sheetViews>
  <sheetFormatPr defaultColWidth="8.6640625" defaultRowHeight="14.4" x14ac:dyDescent="0.3"/>
  <cols>
    <col min="1" max="1" width="2.88671875" customWidth="1"/>
    <col min="2" max="3" width="10" customWidth="1"/>
    <col min="4" max="4" width="35" customWidth="1"/>
    <col min="5" max="5" width="22" customWidth="1"/>
    <col min="6" max="6" width="14.21875" customWidth="1"/>
    <col min="7" max="7" width="18.109375" customWidth="1"/>
    <col min="8" max="8" width="13.33203125" customWidth="1"/>
    <col min="9" max="9" width="16" customWidth="1"/>
    <col min="10" max="10" width="30" customWidth="1"/>
    <col min="11" max="11" width="12" customWidth="1"/>
    <col min="12" max="12" width="14.5546875" customWidth="1"/>
    <col min="13" max="13" width="15.21875" customWidth="1"/>
  </cols>
  <sheetData>
    <row r="1" spans="2:13" ht="39.75" customHeight="1" x14ac:dyDescent="0.3">
      <c r="B1" s="5" t="s">
        <v>129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2:13" x14ac:dyDescent="0.3">
      <c r="B2" s="31" t="s">
        <v>85</v>
      </c>
      <c r="C2" s="32" t="s">
        <v>130</v>
      </c>
      <c r="D2" s="32" t="s">
        <v>131</v>
      </c>
      <c r="E2" s="32" t="s">
        <v>24</v>
      </c>
      <c r="F2" s="32" t="s">
        <v>132</v>
      </c>
      <c r="G2" s="32" t="s">
        <v>133</v>
      </c>
      <c r="H2" s="32" t="s">
        <v>134</v>
      </c>
      <c r="I2" s="32" t="s">
        <v>13</v>
      </c>
      <c r="J2" s="32" t="s">
        <v>135</v>
      </c>
      <c r="K2" s="32" t="s">
        <v>15</v>
      </c>
      <c r="L2" s="32" t="s">
        <v>136</v>
      </c>
      <c r="M2" s="33" t="s">
        <v>137</v>
      </c>
    </row>
    <row r="3" spans="2:13" ht="26.4" x14ac:dyDescent="0.3">
      <c r="B3" s="27" t="s">
        <v>138</v>
      </c>
      <c r="C3" s="23" t="s">
        <v>139</v>
      </c>
      <c r="D3" s="23" t="s">
        <v>140</v>
      </c>
      <c r="E3" s="23" t="s">
        <v>33</v>
      </c>
      <c r="F3" s="43">
        <v>4</v>
      </c>
      <c r="G3" s="43">
        <v>4</v>
      </c>
      <c r="H3" s="43">
        <f t="shared" ref="H3:H8" si="0">F3*G3</f>
        <v>16</v>
      </c>
      <c r="I3" s="23" t="s">
        <v>94</v>
      </c>
      <c r="J3" s="23" t="s">
        <v>141</v>
      </c>
      <c r="K3" s="23" t="s">
        <v>96</v>
      </c>
      <c r="L3" s="23" t="s">
        <v>17</v>
      </c>
      <c r="M3" s="29"/>
    </row>
    <row r="4" spans="2:13" ht="26.4" x14ac:dyDescent="0.3">
      <c r="B4" s="28" t="s">
        <v>142</v>
      </c>
      <c r="C4" s="25" t="s">
        <v>139</v>
      </c>
      <c r="D4" s="25" t="s">
        <v>143</v>
      </c>
      <c r="E4" s="25" t="s">
        <v>56</v>
      </c>
      <c r="F4" s="44">
        <v>5</v>
      </c>
      <c r="G4" s="44">
        <v>3</v>
      </c>
      <c r="H4" s="44">
        <f t="shared" si="0"/>
        <v>15</v>
      </c>
      <c r="I4" s="25" t="s">
        <v>94</v>
      </c>
      <c r="J4" s="25" t="s">
        <v>144</v>
      </c>
      <c r="K4" s="25" t="s">
        <v>96</v>
      </c>
      <c r="L4" s="25" t="s">
        <v>17</v>
      </c>
      <c r="M4" s="30"/>
    </row>
    <row r="5" spans="2:13" ht="26.4" x14ac:dyDescent="0.3">
      <c r="B5" s="27" t="s">
        <v>145</v>
      </c>
      <c r="C5" s="23" t="s">
        <v>139</v>
      </c>
      <c r="D5" s="23" t="s">
        <v>146</v>
      </c>
      <c r="E5" s="23" t="s">
        <v>70</v>
      </c>
      <c r="F5" s="43">
        <v>4</v>
      </c>
      <c r="G5" s="43">
        <v>3</v>
      </c>
      <c r="H5" s="43">
        <f t="shared" si="0"/>
        <v>12</v>
      </c>
      <c r="I5" s="23" t="s">
        <v>94</v>
      </c>
      <c r="J5" s="23" t="s">
        <v>147</v>
      </c>
      <c r="K5" s="23" t="s">
        <v>96</v>
      </c>
      <c r="L5" s="23" t="s">
        <v>17</v>
      </c>
      <c r="M5" s="29"/>
    </row>
    <row r="6" spans="2:13" ht="26.4" x14ac:dyDescent="0.3">
      <c r="B6" s="28" t="s">
        <v>148</v>
      </c>
      <c r="C6" s="25" t="s">
        <v>149</v>
      </c>
      <c r="D6" s="25" t="s">
        <v>150</v>
      </c>
      <c r="E6" s="25" t="s">
        <v>56</v>
      </c>
      <c r="F6" s="44">
        <v>5</v>
      </c>
      <c r="G6" s="44">
        <v>5</v>
      </c>
      <c r="H6" s="44">
        <f t="shared" si="0"/>
        <v>25</v>
      </c>
      <c r="I6" s="25" t="s">
        <v>94</v>
      </c>
      <c r="J6" s="25" t="s">
        <v>151</v>
      </c>
      <c r="K6" s="25" t="s">
        <v>96</v>
      </c>
      <c r="L6" s="25" t="s">
        <v>17</v>
      </c>
      <c r="M6" s="30" t="s">
        <v>119</v>
      </c>
    </row>
    <row r="7" spans="2:13" ht="39.6" x14ac:dyDescent="0.3">
      <c r="B7" s="27" t="s">
        <v>152</v>
      </c>
      <c r="C7" s="23" t="s">
        <v>139</v>
      </c>
      <c r="D7" s="23" t="s">
        <v>153</v>
      </c>
      <c r="E7" s="23" t="s">
        <v>64</v>
      </c>
      <c r="F7" s="43">
        <v>3</v>
      </c>
      <c r="G7" s="43">
        <v>4</v>
      </c>
      <c r="H7" s="43">
        <f t="shared" si="0"/>
        <v>12</v>
      </c>
      <c r="I7" s="23" t="s">
        <v>94</v>
      </c>
      <c r="J7" s="23" t="s">
        <v>154</v>
      </c>
      <c r="K7" s="23" t="s">
        <v>96</v>
      </c>
      <c r="L7" s="23" t="s">
        <v>17</v>
      </c>
      <c r="M7" s="29"/>
    </row>
    <row r="8" spans="2:13" ht="26.4" x14ac:dyDescent="0.3">
      <c r="B8" s="34" t="s">
        <v>155</v>
      </c>
      <c r="C8" s="35" t="s">
        <v>139</v>
      </c>
      <c r="D8" s="35" t="s">
        <v>156</v>
      </c>
      <c r="E8" s="35" t="s">
        <v>42</v>
      </c>
      <c r="F8" s="45">
        <v>4</v>
      </c>
      <c r="G8" s="45">
        <v>2</v>
      </c>
      <c r="H8" s="45">
        <f t="shared" si="0"/>
        <v>8</v>
      </c>
      <c r="I8" s="35" t="s">
        <v>94</v>
      </c>
      <c r="J8" s="35" t="s">
        <v>157</v>
      </c>
      <c r="K8" s="35" t="s">
        <v>96</v>
      </c>
      <c r="L8" s="35" t="s">
        <v>17</v>
      </c>
      <c r="M8" s="37"/>
    </row>
  </sheetData>
  <mergeCells count="1">
    <mergeCell ref="B1:M1"/>
  </mergeCells>
  <conditionalFormatting sqref="H3:H100">
    <cfRule type="cellIs" dxfId="9" priority="2" operator="greaterThanOrEqual">
      <formula>16</formula>
    </cfRule>
    <cfRule type="cellIs" dxfId="8" priority="3" operator="between">
      <formula>9</formula>
      <formula>15</formula>
    </cfRule>
    <cfRule type="cellIs" dxfId="7" priority="4" operator="lessThan">
      <formula>9</formula>
    </cfRule>
  </conditionalFormatting>
  <dataValidations count="2">
    <dataValidation type="list" allowBlank="1" sqref="C3:C100" xr:uid="{00000000-0002-0000-0300-000000000000}">
      <formula1>"Risk,Issue"</formula1>
      <formula2>0</formula2>
    </dataValidation>
    <dataValidation type="list" allowBlank="1" sqref="K3:K100" xr:uid="{00000000-0002-0000-0300-000001000000}">
      <formula1>"Open,Mitigating,Closed,Accepted"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78BFA"/>
    <pageSetUpPr fitToPage="1"/>
  </sheetPr>
  <dimension ref="B1:L10"/>
  <sheetViews>
    <sheetView showGridLines="0" zoomScaleNormal="100" workbookViewId="0">
      <pane ySplit="2" topLeftCell="A3" activePane="bottomLeft" state="frozen"/>
      <selection pane="bottomLeft" activeCell="C7" sqref="C7"/>
    </sheetView>
  </sheetViews>
  <sheetFormatPr defaultColWidth="8.6640625" defaultRowHeight="14.4" x14ac:dyDescent="0.3"/>
  <cols>
    <col min="1" max="1" width="2.33203125" customWidth="1"/>
    <col min="2" max="2" width="10" customWidth="1"/>
    <col min="3" max="3" width="30" customWidth="1"/>
    <col min="4" max="4" width="22" customWidth="1"/>
    <col min="5" max="5" width="16" customWidth="1"/>
    <col min="6" max="6" width="15.77734375" customWidth="1"/>
    <col min="7" max="7" width="15.88671875" customWidth="1"/>
    <col min="8" max="8" width="14" customWidth="1"/>
    <col min="9" max="9" width="12" customWidth="1"/>
    <col min="10" max="10" width="18" customWidth="1"/>
    <col min="11" max="11" width="24" customWidth="1"/>
    <col min="12" max="12" width="28" customWidth="1"/>
  </cols>
  <sheetData>
    <row r="1" spans="2:12" ht="39.75" customHeight="1" x14ac:dyDescent="0.3">
      <c r="B1" s="5" t="s">
        <v>158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12" x14ac:dyDescent="0.3">
      <c r="B2" s="31" t="s">
        <v>85</v>
      </c>
      <c r="C2" s="32" t="s">
        <v>159</v>
      </c>
      <c r="D2" s="32" t="s">
        <v>24</v>
      </c>
      <c r="E2" s="32" t="s">
        <v>13</v>
      </c>
      <c r="F2" s="32" t="s">
        <v>160</v>
      </c>
      <c r="G2" s="32" t="s">
        <v>161</v>
      </c>
      <c r="H2" s="32" t="s">
        <v>162</v>
      </c>
      <c r="I2" s="32" t="s">
        <v>15</v>
      </c>
      <c r="J2" s="32" t="s">
        <v>163</v>
      </c>
      <c r="K2" s="32" t="s">
        <v>164</v>
      </c>
      <c r="L2" s="33" t="s">
        <v>165</v>
      </c>
    </row>
    <row r="3" spans="2:12" ht="26.4" x14ac:dyDescent="0.3">
      <c r="B3" s="40" t="s">
        <v>166</v>
      </c>
      <c r="C3" s="23" t="s">
        <v>167</v>
      </c>
      <c r="D3" s="23" t="s">
        <v>69</v>
      </c>
      <c r="E3" s="23" t="s">
        <v>94</v>
      </c>
      <c r="F3" s="23" t="s">
        <v>127</v>
      </c>
      <c r="G3" s="23"/>
      <c r="H3" s="23"/>
      <c r="I3" s="23" t="s">
        <v>38</v>
      </c>
      <c r="J3" s="23" t="s">
        <v>168</v>
      </c>
      <c r="K3" s="23"/>
      <c r="L3" s="29"/>
    </row>
    <row r="4" spans="2:12" ht="26.4" x14ac:dyDescent="0.3">
      <c r="B4" s="41" t="s">
        <v>169</v>
      </c>
      <c r="C4" s="25" t="s">
        <v>170</v>
      </c>
      <c r="D4" s="25" t="s">
        <v>69</v>
      </c>
      <c r="E4" s="25" t="s">
        <v>94</v>
      </c>
      <c r="F4" s="25" t="s">
        <v>71</v>
      </c>
      <c r="G4" s="25"/>
      <c r="H4" s="25"/>
      <c r="I4" s="25" t="s">
        <v>171</v>
      </c>
      <c r="J4" s="25" t="s">
        <v>172</v>
      </c>
      <c r="K4" s="25" t="s">
        <v>173</v>
      </c>
      <c r="L4" s="30"/>
    </row>
    <row r="5" spans="2:12" ht="26.4" x14ac:dyDescent="0.3">
      <c r="B5" s="40" t="s">
        <v>174</v>
      </c>
      <c r="C5" s="23" t="s">
        <v>175</v>
      </c>
      <c r="D5" s="23" t="s">
        <v>33</v>
      </c>
      <c r="E5" s="23" t="s">
        <v>94</v>
      </c>
      <c r="F5" s="23" t="s">
        <v>119</v>
      </c>
      <c r="G5" s="23"/>
      <c r="H5" s="23"/>
      <c r="I5" s="23" t="s">
        <v>171</v>
      </c>
      <c r="J5" s="23" t="s">
        <v>176</v>
      </c>
      <c r="K5" s="23" t="s">
        <v>177</v>
      </c>
      <c r="L5" s="29"/>
    </row>
    <row r="6" spans="2:12" ht="26.4" x14ac:dyDescent="0.3">
      <c r="B6" s="41" t="s">
        <v>178</v>
      </c>
      <c r="C6" s="25" t="s">
        <v>179</v>
      </c>
      <c r="D6" s="25" t="s">
        <v>33</v>
      </c>
      <c r="E6" s="25" t="s">
        <v>94</v>
      </c>
      <c r="F6" s="25" t="s">
        <v>180</v>
      </c>
      <c r="G6" s="25"/>
      <c r="H6" s="25"/>
      <c r="I6" s="25" t="s">
        <v>171</v>
      </c>
      <c r="J6" s="25" t="s">
        <v>181</v>
      </c>
      <c r="K6" s="25" t="s">
        <v>174</v>
      </c>
      <c r="L6" s="30"/>
    </row>
    <row r="7" spans="2:12" ht="26.4" x14ac:dyDescent="0.3">
      <c r="B7" s="40" t="s">
        <v>182</v>
      </c>
      <c r="C7" s="23" t="s">
        <v>183</v>
      </c>
      <c r="D7" s="23" t="s">
        <v>56</v>
      </c>
      <c r="E7" s="23" t="s">
        <v>94</v>
      </c>
      <c r="F7" s="23" t="s">
        <v>71</v>
      </c>
      <c r="G7" s="23"/>
      <c r="H7" s="23"/>
      <c r="I7" s="23" t="s">
        <v>171</v>
      </c>
      <c r="J7" s="23" t="s">
        <v>184</v>
      </c>
      <c r="K7" s="23" t="s">
        <v>185</v>
      </c>
      <c r="L7" s="29"/>
    </row>
    <row r="8" spans="2:12" ht="26.4" x14ac:dyDescent="0.3">
      <c r="B8" s="41" t="s">
        <v>186</v>
      </c>
      <c r="C8" s="25" t="s">
        <v>187</v>
      </c>
      <c r="D8" s="25" t="s">
        <v>64</v>
      </c>
      <c r="E8" s="25" t="s">
        <v>94</v>
      </c>
      <c r="F8" s="25" t="s">
        <v>37</v>
      </c>
      <c r="G8" s="25"/>
      <c r="H8" s="25"/>
      <c r="I8" s="25" t="s">
        <v>171</v>
      </c>
      <c r="J8" s="25" t="s">
        <v>188</v>
      </c>
      <c r="K8" s="25" t="s">
        <v>189</v>
      </c>
      <c r="L8" s="30"/>
    </row>
    <row r="9" spans="2:12" ht="26.4" x14ac:dyDescent="0.3">
      <c r="B9" s="40" t="s">
        <v>190</v>
      </c>
      <c r="C9" s="23" t="s">
        <v>191</v>
      </c>
      <c r="D9" s="23" t="s">
        <v>74</v>
      </c>
      <c r="E9" s="23" t="s">
        <v>94</v>
      </c>
      <c r="F9" s="23" t="s">
        <v>59</v>
      </c>
      <c r="G9" s="23"/>
      <c r="H9" s="23"/>
      <c r="I9" s="23" t="s">
        <v>171</v>
      </c>
      <c r="J9" s="23" t="s">
        <v>192</v>
      </c>
      <c r="K9" s="23" t="s">
        <v>193</v>
      </c>
      <c r="L9" s="29"/>
    </row>
    <row r="10" spans="2:12" ht="21.6" customHeight="1" x14ac:dyDescent="0.3">
      <c r="B10" s="42" t="s">
        <v>194</v>
      </c>
      <c r="C10" s="35" t="s">
        <v>195</v>
      </c>
      <c r="D10" s="35" t="s">
        <v>70</v>
      </c>
      <c r="E10" s="35" t="s">
        <v>94</v>
      </c>
      <c r="F10" s="35" t="s">
        <v>59</v>
      </c>
      <c r="G10" s="35"/>
      <c r="H10" s="35"/>
      <c r="I10" s="35" t="s">
        <v>171</v>
      </c>
      <c r="J10" s="35" t="s">
        <v>196</v>
      </c>
      <c r="K10" s="35" t="s">
        <v>197</v>
      </c>
      <c r="L10" s="37"/>
    </row>
  </sheetData>
  <mergeCells count="1">
    <mergeCell ref="B1:L1"/>
  </mergeCells>
  <conditionalFormatting sqref="I3:I100">
    <cfRule type="cellIs" dxfId="6" priority="2" operator="equal">
      <formula>"Complete"</formula>
    </cfRule>
    <cfRule type="cellIs" dxfId="5" priority="3" operator="equal">
      <formula>"Delayed"</formula>
    </cfRule>
    <cfRule type="cellIs" dxfId="4" priority="4" operator="equal">
      <formula>"At Risk"</formula>
    </cfRule>
  </conditionalFormatting>
  <dataValidations count="1">
    <dataValidation type="list" allowBlank="1" sqref="I3:I100" xr:uid="{00000000-0002-0000-0400-000000000000}">
      <formula1>"Planned,On Track,At Risk,Delayed,Complete,Cancelled"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8BDF8"/>
    <pageSetUpPr fitToPage="1"/>
  </sheetPr>
  <dimension ref="B1:K13"/>
  <sheetViews>
    <sheetView showGridLines="0" zoomScaleNormal="100" workbookViewId="0">
      <pane ySplit="3" topLeftCell="A4" activePane="bottomLeft" state="frozen"/>
      <selection pane="bottomLeft" activeCell="A3" sqref="A3:XFD3"/>
    </sheetView>
  </sheetViews>
  <sheetFormatPr defaultColWidth="8.6640625" defaultRowHeight="14.4" x14ac:dyDescent="0.3"/>
  <cols>
    <col min="1" max="1" width="2.109375" customWidth="1"/>
    <col min="2" max="2" width="35" customWidth="1"/>
    <col min="3" max="11" width="19.109375" style="60" customWidth="1"/>
  </cols>
  <sheetData>
    <row r="1" spans="2:11" ht="39.75" customHeight="1" x14ac:dyDescent="0.3">
      <c r="B1" s="5" t="s">
        <v>198</v>
      </c>
      <c r="C1" s="5"/>
      <c r="D1" s="5"/>
      <c r="E1" s="5"/>
      <c r="F1" s="5"/>
      <c r="G1" s="5"/>
      <c r="H1" s="5"/>
      <c r="I1" s="5"/>
      <c r="J1" s="5"/>
      <c r="K1" s="5"/>
    </row>
    <row r="2" spans="2:11" x14ac:dyDescent="0.3">
      <c r="B2" s="22" t="s">
        <v>199</v>
      </c>
      <c r="C2" s="22"/>
      <c r="D2" s="22"/>
      <c r="E2" s="22"/>
      <c r="F2" s="22"/>
      <c r="G2" s="22"/>
      <c r="H2" s="22"/>
      <c r="I2" s="22"/>
      <c r="J2" s="22"/>
      <c r="K2" s="22"/>
    </row>
    <row r="3" spans="2:11" ht="34.200000000000003" customHeight="1" x14ac:dyDescent="0.3">
      <c r="B3" s="31" t="s">
        <v>200</v>
      </c>
      <c r="C3" s="32" t="s">
        <v>201</v>
      </c>
      <c r="D3" s="32" t="s">
        <v>202</v>
      </c>
      <c r="E3" s="32" t="s">
        <v>203</v>
      </c>
      <c r="F3" s="32" t="s">
        <v>204</v>
      </c>
      <c r="G3" s="32" t="s">
        <v>205</v>
      </c>
      <c r="H3" s="32" t="s">
        <v>206</v>
      </c>
      <c r="I3" s="32" t="s">
        <v>207</v>
      </c>
      <c r="J3" s="32" t="s">
        <v>208</v>
      </c>
      <c r="K3" s="33" t="s">
        <v>209</v>
      </c>
    </row>
    <row r="4" spans="2:11" ht="34.799999999999997" customHeight="1" x14ac:dyDescent="0.3">
      <c r="B4" s="27" t="s">
        <v>210</v>
      </c>
      <c r="C4" s="46" t="s">
        <v>211</v>
      </c>
      <c r="D4" s="47" t="s">
        <v>212</v>
      </c>
      <c r="E4" s="48" t="s">
        <v>213</v>
      </c>
      <c r="F4" s="48" t="s">
        <v>213</v>
      </c>
      <c r="G4" s="48" t="s">
        <v>213</v>
      </c>
      <c r="H4" s="47" t="s">
        <v>212</v>
      </c>
      <c r="I4" s="48" t="s">
        <v>213</v>
      </c>
      <c r="J4" s="48" t="s">
        <v>213</v>
      </c>
      <c r="K4" s="51" t="s">
        <v>212</v>
      </c>
    </row>
    <row r="5" spans="2:11" ht="34.799999999999997" customHeight="1" x14ac:dyDescent="0.3">
      <c r="B5" s="50" t="s">
        <v>214</v>
      </c>
      <c r="C5" s="46" t="s">
        <v>211</v>
      </c>
      <c r="D5" s="49" t="s">
        <v>215</v>
      </c>
      <c r="E5" s="47" t="s">
        <v>212</v>
      </c>
      <c r="F5" s="47" t="s">
        <v>212</v>
      </c>
      <c r="G5" s="47" t="s">
        <v>212</v>
      </c>
      <c r="H5" s="47" t="s">
        <v>212</v>
      </c>
      <c r="I5" s="47" t="s">
        <v>212</v>
      </c>
      <c r="J5" s="48" t="s">
        <v>213</v>
      </c>
      <c r="K5" s="52" t="s">
        <v>215</v>
      </c>
    </row>
    <row r="6" spans="2:11" ht="34.799999999999997" customHeight="1" x14ac:dyDescent="0.3">
      <c r="B6" s="27" t="s">
        <v>216</v>
      </c>
      <c r="C6" s="48" t="s">
        <v>213</v>
      </c>
      <c r="D6" s="46" t="s">
        <v>211</v>
      </c>
      <c r="E6" s="49" t="s">
        <v>215</v>
      </c>
      <c r="F6" s="47" t="s">
        <v>212</v>
      </c>
      <c r="G6" s="48" t="s">
        <v>213</v>
      </c>
      <c r="H6" s="47" t="s">
        <v>212</v>
      </c>
      <c r="I6" s="48" t="s">
        <v>213</v>
      </c>
      <c r="J6" s="48" t="s">
        <v>213</v>
      </c>
      <c r="K6" s="51" t="s">
        <v>212</v>
      </c>
    </row>
    <row r="7" spans="2:11" ht="34.799999999999997" customHeight="1" x14ac:dyDescent="0.3">
      <c r="B7" s="50" t="s">
        <v>217</v>
      </c>
      <c r="C7" s="46" t="s">
        <v>211</v>
      </c>
      <c r="D7" s="49" t="s">
        <v>215</v>
      </c>
      <c r="E7" s="49" t="s">
        <v>215</v>
      </c>
      <c r="F7" s="47" t="s">
        <v>212</v>
      </c>
      <c r="G7" s="47" t="s">
        <v>212</v>
      </c>
      <c r="H7" s="47" t="s">
        <v>212</v>
      </c>
      <c r="I7" s="47" t="s">
        <v>212</v>
      </c>
      <c r="J7" s="48" t="s">
        <v>213</v>
      </c>
      <c r="K7" s="51" t="s">
        <v>212</v>
      </c>
    </row>
    <row r="8" spans="2:11" ht="34.799999999999997" customHeight="1" x14ac:dyDescent="0.3">
      <c r="B8" s="27" t="s">
        <v>218</v>
      </c>
      <c r="C8" s="48" t="s">
        <v>213</v>
      </c>
      <c r="D8" s="47" t="s">
        <v>212</v>
      </c>
      <c r="E8" s="47" t="s">
        <v>212</v>
      </c>
      <c r="F8" s="49" t="s">
        <v>215</v>
      </c>
      <c r="G8" s="48" t="s">
        <v>213</v>
      </c>
      <c r="H8" s="48" t="s">
        <v>213</v>
      </c>
      <c r="I8" s="48" t="s">
        <v>213</v>
      </c>
      <c r="J8" s="48" t="s">
        <v>213</v>
      </c>
      <c r="K8" s="51" t="s">
        <v>212</v>
      </c>
    </row>
    <row r="9" spans="2:11" ht="34.799999999999997" customHeight="1" x14ac:dyDescent="0.3">
      <c r="B9" s="50" t="s">
        <v>219</v>
      </c>
      <c r="C9" s="47" t="s">
        <v>212</v>
      </c>
      <c r="D9" s="47" t="s">
        <v>212</v>
      </c>
      <c r="E9" s="47" t="s">
        <v>212</v>
      </c>
      <c r="F9" s="48" t="s">
        <v>213</v>
      </c>
      <c r="G9" s="49" t="s">
        <v>215</v>
      </c>
      <c r="H9" s="48" t="s">
        <v>213</v>
      </c>
      <c r="I9" s="48" t="s">
        <v>213</v>
      </c>
      <c r="J9" s="48" t="s">
        <v>213</v>
      </c>
      <c r="K9" s="51" t="s">
        <v>212</v>
      </c>
    </row>
    <row r="10" spans="2:11" ht="34.799999999999997" customHeight="1" x14ac:dyDescent="0.3">
      <c r="B10" s="27" t="s">
        <v>220</v>
      </c>
      <c r="C10" s="48" t="s">
        <v>213</v>
      </c>
      <c r="D10" s="46" t="s">
        <v>211</v>
      </c>
      <c r="E10" s="47" t="s">
        <v>212</v>
      </c>
      <c r="F10" s="49" t="s">
        <v>215</v>
      </c>
      <c r="G10" s="48" t="s">
        <v>213</v>
      </c>
      <c r="H10" s="47" t="s">
        <v>212</v>
      </c>
      <c r="I10" s="48" t="s">
        <v>213</v>
      </c>
      <c r="J10" s="48" t="s">
        <v>213</v>
      </c>
      <c r="K10" s="51" t="s">
        <v>212</v>
      </c>
    </row>
    <row r="11" spans="2:11" ht="34.799999999999997" customHeight="1" x14ac:dyDescent="0.3">
      <c r="B11" s="50" t="s">
        <v>221</v>
      </c>
      <c r="C11" s="46" t="s">
        <v>211</v>
      </c>
      <c r="D11" s="49" t="s">
        <v>215</v>
      </c>
      <c r="E11" s="49" t="s">
        <v>215</v>
      </c>
      <c r="F11" s="47" t="s">
        <v>212</v>
      </c>
      <c r="G11" s="48" t="s">
        <v>213</v>
      </c>
      <c r="H11" s="49" t="s">
        <v>215</v>
      </c>
      <c r="I11" s="47" t="s">
        <v>212</v>
      </c>
      <c r="J11" s="48" t="s">
        <v>213</v>
      </c>
      <c r="K11" s="53" t="s">
        <v>213</v>
      </c>
    </row>
    <row r="12" spans="2:11" ht="34.799999999999997" customHeight="1" x14ac:dyDescent="0.3">
      <c r="B12" s="27" t="s">
        <v>222</v>
      </c>
      <c r="C12" s="46" t="s">
        <v>211</v>
      </c>
      <c r="D12" s="49" t="s">
        <v>215</v>
      </c>
      <c r="E12" s="47" t="s">
        <v>212</v>
      </c>
      <c r="F12" s="49" t="s">
        <v>215</v>
      </c>
      <c r="G12" s="49" t="s">
        <v>215</v>
      </c>
      <c r="H12" s="47" t="s">
        <v>212</v>
      </c>
      <c r="I12" s="47" t="s">
        <v>212</v>
      </c>
      <c r="J12" s="48" t="s">
        <v>213</v>
      </c>
      <c r="K12" s="51" t="s">
        <v>212</v>
      </c>
    </row>
    <row r="13" spans="2:11" ht="34.799999999999997" customHeight="1" x14ac:dyDescent="0.3">
      <c r="B13" s="54" t="s">
        <v>223</v>
      </c>
      <c r="C13" s="55" t="s">
        <v>211</v>
      </c>
      <c r="D13" s="56" t="s">
        <v>215</v>
      </c>
      <c r="E13" s="57" t="s">
        <v>212</v>
      </c>
      <c r="F13" s="58" t="s">
        <v>213</v>
      </c>
      <c r="G13" s="58" t="s">
        <v>213</v>
      </c>
      <c r="H13" s="56" t="s">
        <v>215</v>
      </c>
      <c r="I13" s="58" t="s">
        <v>213</v>
      </c>
      <c r="J13" s="58" t="s">
        <v>213</v>
      </c>
      <c r="K13" s="59" t="s">
        <v>212</v>
      </c>
    </row>
  </sheetData>
  <mergeCells count="2">
    <mergeCell ref="B1:K1"/>
    <mergeCell ref="B2:K2"/>
  </mergeCells>
  <dataValidations count="1">
    <dataValidation type="list" allowBlank="1" sqref="C4:K50" xr:uid="{00000000-0002-0000-0500-000000000000}">
      <formula1>"R,A,C,I"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A8799"/>
    <pageSetUpPr fitToPage="1"/>
  </sheetPr>
  <dimension ref="B1:F4"/>
  <sheetViews>
    <sheetView showGridLines="0" zoomScaleNormal="100" workbookViewId="0">
      <pane ySplit="2" topLeftCell="A3" activePane="bottomLeft" state="frozen"/>
      <selection pane="bottomLeft" activeCell="D5" sqref="D5"/>
    </sheetView>
  </sheetViews>
  <sheetFormatPr defaultColWidth="8.6640625" defaultRowHeight="14.4" x14ac:dyDescent="0.3"/>
  <cols>
    <col min="1" max="1" width="3.109375" customWidth="1"/>
    <col min="2" max="2" width="14" customWidth="1"/>
    <col min="3" max="4" width="18" customWidth="1"/>
    <col min="5" max="5" width="40" customWidth="1"/>
    <col min="6" max="6" width="30" customWidth="1"/>
  </cols>
  <sheetData>
    <row r="1" spans="2:6" ht="39.75" customHeight="1" x14ac:dyDescent="0.3">
      <c r="B1" s="5" t="s">
        <v>224</v>
      </c>
      <c r="C1" s="5"/>
      <c r="D1" s="5"/>
      <c r="E1" s="5"/>
      <c r="F1" s="5"/>
    </row>
    <row r="2" spans="2:6" x14ac:dyDescent="0.3">
      <c r="B2" s="31" t="s">
        <v>225</v>
      </c>
      <c r="C2" s="32" t="s">
        <v>226</v>
      </c>
      <c r="D2" s="32" t="s">
        <v>227</v>
      </c>
      <c r="E2" s="32" t="s">
        <v>228</v>
      </c>
      <c r="F2" s="33" t="s">
        <v>229</v>
      </c>
    </row>
    <row r="3" spans="2:6" ht="24.6" customHeight="1" x14ac:dyDescent="0.3">
      <c r="B3" s="28" t="s">
        <v>22</v>
      </c>
      <c r="C3" s="25" t="s">
        <v>230</v>
      </c>
      <c r="D3" s="25" t="s">
        <v>231</v>
      </c>
      <c r="E3" s="25" t="s">
        <v>232</v>
      </c>
      <c r="F3" s="30" t="s">
        <v>233</v>
      </c>
    </row>
    <row r="4" spans="2:6" ht="24.6" customHeight="1" x14ac:dyDescent="0.3">
      <c r="B4" s="39"/>
      <c r="C4" s="61"/>
      <c r="D4" s="61"/>
      <c r="E4" s="61"/>
      <c r="F4" s="38"/>
    </row>
  </sheetData>
  <mergeCells count="1">
    <mergeCell ref="B1:F1"/>
  </mergeCell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Workstreams</vt:lpstr>
      <vt:lpstr>Actions</vt:lpstr>
      <vt:lpstr>Risks &amp; Issues</vt:lpstr>
      <vt:lpstr>Milestones</vt:lpstr>
      <vt:lpstr>RACI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Magata, Julian</cp:lastModifiedBy>
  <cp:revision>0</cp:revision>
  <dcterms:created xsi:type="dcterms:W3CDTF">2026-06-08T13:40:17Z</dcterms:created>
  <dcterms:modified xsi:type="dcterms:W3CDTF">2026-06-15T21:31:17Z</dcterms:modified>
  <dc:language>en-US</dc:language>
</cp:coreProperties>
</file>